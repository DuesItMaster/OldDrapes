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mc:AlternateContent xmlns:mc="http://schemas.openxmlformats.org/markup-compatibility/2006">
    <mc:Choice Requires="x15">
      <x15ac:absPath xmlns:x15ac="http://schemas.microsoft.com/office/spreadsheetml/2010/11/ac" url="https://duestextilsadecv-my.sharepoint.com/personal/sistemas_dues_com_mx/Documents/Documentos/Documentación_Proyectos_Sistemas/"/>
    </mc:Choice>
  </mc:AlternateContent>
  <xr:revisionPtr revIDLastSave="0" documentId="8_{AC9A85E2-F71B-4F9A-86D4-D120AC77CE4C}" xr6:coauthVersionLast="47" xr6:coauthVersionMax="47" xr10:uidLastSave="{00000000-0000-0000-0000-000000000000}"/>
  <bookViews>
    <workbookView xWindow="-28920" yWindow="-90" windowWidth="29040" windowHeight="15720" firstSheet="2" activeTab="2" xr2:uid="{00000000-000D-0000-FFFF-FFFF00000000}"/>
  </bookViews>
  <sheets>
    <sheet name="Desarrollo 2026" sheetId="6" r:id="rId1"/>
    <sheet name="Desarrollo" sheetId="5" r:id="rId2"/>
    <sheet name="Plan 2026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6" l="1"/>
  <c r="S13" i="6"/>
  <c r="S4" i="6"/>
  <c r="S6" i="6"/>
  <c r="S7" i="6"/>
  <c r="S8" i="6"/>
  <c r="S10" i="6"/>
  <c r="S11" i="6"/>
  <c r="S12" i="6"/>
  <c r="S14" i="6"/>
  <c r="S8" i="5"/>
  <c r="S7" i="5"/>
  <c r="S6" i="5"/>
  <c r="S5" i="5"/>
  <c r="S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Abraham Guizar</author>
  </authors>
  <commentList>
    <comment ref="F12" authorId="0" shapeId="0" xr:uid="{F199878E-5C24-4A9B-92CB-1F94D02FC947}">
      <text>
        <r>
          <rPr>
            <sz val="11"/>
            <color theme="1"/>
            <rFont val="Calibri"/>
            <family val="2"/>
            <scheme val="minor"/>
          </rPr>
          <t>Abraham Guizar:
CAMBIOS IMPLEMENTADOS DUES EMBARQUES
- Optimización de consultas para aligerar la carga del sistema y que sea mas rápido
- Se agrego la posibilidad de tener filtros combinables para buscar un cliente de forma mas especifica Cliente + Ciudad + Colonia + RFC + Transporte
- Se agregaron filtros independientes para buscar un Pedido, Guía o Embarque especifico que muestra un listado
- Se agrego filtro para buscar listas vacías para poder reutilizarlas
- En formulario clientes, se agrego la posibilidad de agregar hasta 10 correos electrónicos extra en caso que el cliente los tenga.
- Se agrego un filtro para poder elegir si ver 5, 10, 25, 50 o 100 clientes para aligerar la carga en servidores.
- Se elimino la previsualización de contenido de listas de embarque para aligerar la carga del sistema.
- Se agrego la posibilidad de anexar hasta 10 archivos de 20Mb cada uno para anexar en el sistema de envíos de Dues Embarques.
- Se agrego la posibilidad de previsualizar la lista de embarques.
- Se agrego el dato folio DUES DRAPES para mejorar la comunicación del departamento de ventas y de logística.
- Se mejoro la exportación de listas de embarque en PDF para hacerla mas eficiente y que el usuario pueda seleccionar en que carpeta quiere guardarla.
- Se agrego la función de imprimir las etiquetas de productos con el contenido de los embarques.
- Se mejoro la función de cambiar cliente para asegurarse que, si una lista de embarque ya esta asignada a uno pueda ser cambiada por otro.
- Se mejoró la funcionalidad para traer productos desde SAP basados en el numero de orden de venta o de pedido.
- Se agrego un modulo de auditoria en el cual los usuarios administradores pueden gestionar y dar permisos a usuarios, además de consultar toda la información de creación y edicion de listas de embarque, así como de eventos de login y logout de los usuarios.
- Se agrego un modulo de ciberseguridad que cierra sesiones que estén mucho tiempo abiertas en caso que el usuario no haga logout para evitar robo de sesiones o movimientos indebidos en un usuario.
- Se hicieron mejoras de interfaz de usuario.
- Se implemento el sistema PM2 en el servidor de Dues Embarques y un sistema de backup para automatizar el arranque del sistema y PM2 Monitor para revisar constantemente que el sistema no consuma recursos de mas.</t>
        </r>
      </text>
    </comment>
  </commentList>
</comments>
</file>

<file path=xl/sharedStrings.xml><?xml version="1.0" encoding="utf-8"?>
<sst xmlns="http://schemas.openxmlformats.org/spreadsheetml/2006/main" count="530" uniqueCount="185">
  <si>
    <t>Propuestas de desarrollo 2025</t>
  </si>
  <si>
    <t>CRONOGRAMA</t>
  </si>
  <si>
    <t>Proyecto</t>
  </si>
  <si>
    <t>Tiempo estimado</t>
  </si>
  <si>
    <t>Descripcion</t>
  </si>
  <si>
    <t>Areas de apoyo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</si>
  <si>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</si>
  <si>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</si>
  <si>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</si>
  <si>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</si>
  <si>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</si>
  <si>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</si>
  <si>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</si>
  <si>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</si>
  <si>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</si>
  <si>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</si>
  <si>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</si>
  <si>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</si>
  <si>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Bonificacion</t>
  </si>
  <si>
    <t>Horas</t>
  </si>
  <si>
    <t>SAP</t>
  </si>
  <si>
    <t>Actualizar el sistema de facturacion</t>
  </si>
  <si>
    <t>1.5 Meses</t>
  </si>
  <si>
    <t>Resolucion de areas de oportunidad detectados del anexo 20</t>
  </si>
  <si>
    <t>Abraham Guizar / Luz Ma. Hdez.</t>
  </si>
  <si>
    <t>X</t>
  </si>
  <si>
    <t>Reporte de facturas de reserva detallado</t>
  </si>
  <si>
    <t>1 Mes</t>
  </si>
  <si>
    <t>Crear un sitio web con el reporte de facturas de reservas</t>
  </si>
  <si>
    <t>Luz Maria Hdez</t>
  </si>
  <si>
    <t>-</t>
  </si>
  <si>
    <t>Dashboard de reportes ventas / ordenes / entregas / etc.</t>
  </si>
  <si>
    <t>2 Meses</t>
  </si>
  <si>
    <t>Crear un portal donde nos muestre la informacion de los pedidos en tiempo real, permitiendo configurar los parametros necesarios</t>
  </si>
  <si>
    <t>Abraham Guizar</t>
  </si>
  <si>
    <t>Control de monederos electronicos o tarjetas de descuento</t>
  </si>
  <si>
    <t>3 Semanas</t>
  </si>
  <si>
    <t xml:space="preserve">Reestructurar el portal existente para la asignacion de </t>
  </si>
  <si>
    <t>Dues Home</t>
  </si>
  <si>
    <t>Drapes</t>
  </si>
  <si>
    <t>Facturas autonomas en Drapes</t>
  </si>
  <si>
    <t>Crear un modulo de facturacion para los distribuidores</t>
  </si>
  <si>
    <t>Abraham / Luz Maria / Felipe</t>
  </si>
  <si>
    <t>CRM</t>
  </si>
  <si>
    <t>Validar campos de contacto</t>
  </si>
  <si>
    <t>2 Semanas</t>
  </si>
  <si>
    <t>Agregar campos de contacto obligatorios a CRM, Sincronizador y SAP para que los vendedores no se salten esa informacion</t>
  </si>
  <si>
    <t>Abraham / Carolina</t>
  </si>
  <si>
    <t>Nuevos desarrollos</t>
  </si>
  <si>
    <t>Sistema de Administracion de Instaladores</t>
  </si>
  <si>
    <t>3 Meses</t>
  </si>
  <si>
    <t>Crear un portal para poder asignar proyectos, habitaciones, comisiones y ver el avance de los mismos en tiempo real</t>
  </si>
  <si>
    <t>Fabiola Burgueño</t>
  </si>
  <si>
    <t>Actualizar SIMO</t>
  </si>
  <si>
    <t>Actualizar software a nuevo lenguaje de programacion</t>
  </si>
  <si>
    <t>Produccion</t>
  </si>
  <si>
    <t>Actualizar cotizador de hoteleria</t>
  </si>
  <si>
    <t>Resolver areas de oportunidad</t>
  </si>
  <si>
    <t>Ilú Diaz</t>
  </si>
  <si>
    <t>Actualizacion del sistema de embarques</t>
  </si>
  <si>
    <t>Eder Garcia</t>
  </si>
  <si>
    <t>Actualizacion de formatos para entrega a cliente</t>
  </si>
  <si>
    <t>Reemplazar la estructura de formacion de los formatos arrojados por las plataformas</t>
  </si>
  <si>
    <t>Adhara Nava</t>
  </si>
  <si>
    <t>Propuestas de desarrollo Externo Gustavo</t>
  </si>
  <si>
    <t>Actualizar software a nuevo lenguaje de programacion y adecuaciones de funcionalidad</t>
  </si>
  <si>
    <t>Propuestas de desarrollo Interno Agustin</t>
  </si>
  <si>
    <t>Reemplazar la estructura de formacion de los formatos arrojados por las distintas plataformas</t>
  </si>
  <si>
    <t>Sistema de seguimiento de pedidos</t>
  </si>
  <si>
    <t>10 meses</t>
  </si>
  <si>
    <t>Sistema para la automatizacion de los pedidos generados en SAP (reemplaza el sistema de cero papel) siguiendo el mismo orden:
Desde la creacion en SAP, revision ejecutiva, costos y coordinadora, confirmacion del pago, operaciones, almacen, compras, orden de fabricacion/confeccion, embarque.
Cliente visualiza en plataformas (drapes o sitio web)</t>
  </si>
  <si>
    <t>Dues Drapes</t>
  </si>
  <si>
    <t>Entrega del proyecto de cotizador dues drapes</t>
  </si>
  <si>
    <t>Dues Contract</t>
  </si>
  <si>
    <t>Entrega del proyecto del portal de dues contract</t>
  </si>
  <si>
    <t>Inicio del proyecto de dues home</t>
  </si>
  <si>
    <t>Toma de medidas</t>
  </si>
  <si>
    <t>Reutilizar funciones del proyecto de toma de medidas para crear validaciones en el cotizador de hoteleria</t>
  </si>
  <si>
    <t>Actualizacion de SIMO</t>
  </si>
  <si>
    <t>Entrega del proyecto de SIMO</t>
  </si>
  <si>
    <t>Nuevo Programador</t>
  </si>
  <si>
    <t>Actualizacion de cotizador de hoteleria</t>
  </si>
  <si>
    <t>Por definir</t>
  </si>
  <si>
    <t>Buscar propuestas para actualizar cotizador de hoteleria</t>
  </si>
  <si>
    <t>Remplementacion de la base de datos de SAP B1</t>
  </si>
  <si>
    <t>Sistema de administracion de RH</t>
  </si>
  <si>
    <t>Sistema de facturacion SAP B1</t>
  </si>
  <si>
    <t>1 mes</t>
  </si>
  <si>
    <t>Sistema de monitoreo de paginas web</t>
  </si>
  <si>
    <t>Int</t>
  </si>
  <si>
    <t>Implementacion de curva KS y Glydea</t>
  </si>
  <si>
    <t>Reestructuracion de aplicación de manos de obra cortinas dues drapes</t>
  </si>
  <si>
    <t>Administracion de instaladores</t>
  </si>
  <si>
    <t>Cotizador de Hotel Collection</t>
  </si>
  <si>
    <t>Seguimiento del sistema de embarques</t>
  </si>
  <si>
    <t>Facturacion Drapes</t>
  </si>
  <si>
    <t>Implementacion de Easy Wave</t>
  </si>
  <si>
    <t>Implementacion de Cortineros nuevos</t>
  </si>
  <si>
    <t>Cronograma Propuesto</t>
  </si>
  <si>
    <t>Proyectos de desarrollo</t>
  </si>
  <si>
    <t>Enero</t>
  </si>
  <si>
    <t>Febrero</t>
  </si>
  <si>
    <t>Nombre del Proyecto</t>
  </si>
  <si>
    <t>tiempo Estimado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</si>
  <si>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</si>
  <si>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</si>
  <si>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</si>
  <si>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</si>
  <si>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</si>
  <si>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</si>
  <si>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</si>
  <si>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</si>
  <si>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</si>
  <si>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</si>
  <si>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</si>
  <si>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</si>
  <si>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</si>
  <si>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Implementacion de Curvo KS y Glydea</t>
  </si>
  <si>
    <t>1 Semana</t>
  </si>
  <si>
    <t>Implementacion del cobro de mano de obra por cortinero curvo o recto</t>
  </si>
  <si>
    <t>DNP y Ventas</t>
  </si>
  <si>
    <t>Implementacion de cortinero elatio</t>
  </si>
  <si>
    <t xml:space="preserve">Creacion de nuevo modulo </t>
  </si>
  <si>
    <t>DNP / Ventas / Mercadotecnia</t>
  </si>
  <si>
    <t>Implementacion de curvo Elatio (codo)</t>
  </si>
  <si>
    <t>Implementacion de campo para validar el cobro de codo cortinero elatio</t>
  </si>
  <si>
    <t>Implementacion de curvo Glydea (codo)</t>
  </si>
  <si>
    <t>Crear campo en el cotizador para habilitar la adicion del codo en el cortinero Somfy</t>
  </si>
  <si>
    <t>Implementacion de cinta ondulada para red</t>
  </si>
  <si>
    <t>Implementacion de cortina Easy Wave</t>
  </si>
  <si>
    <t>Crear modulo en drapes para la confeccion easy wave</t>
  </si>
  <si>
    <t>HC</t>
  </si>
  <si>
    <t>Cotizador Hotel Collection</t>
  </si>
  <si>
    <t>4 Meses</t>
  </si>
  <si>
    <t>Creacion del nuevo cotizador para distribuidores hotel collection</t>
  </si>
  <si>
    <t>Ecommerce</t>
  </si>
  <si>
    <t>Proyectos de desarrollo - Derek</t>
  </si>
  <si>
    <t>Marzo</t>
  </si>
  <si>
    <t>Abril</t>
  </si>
  <si>
    <t>Mayo</t>
  </si>
  <si>
    <t>Tiempo Estimado</t>
  </si>
  <si>
    <t>Cumplimiento</t>
  </si>
  <si>
    <t>Status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</si>
  <si>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</si>
  <si>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</si>
  <si>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</si>
  <si>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</si>
  <si>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</si>
  <si>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</si>
  <si>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</si>
  <si>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</si>
  <si>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</si>
  <si>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Ok</t>
  </si>
  <si>
    <t>Terminado</t>
  </si>
  <si>
    <t>DNP / Ventas / MKT</t>
  </si>
  <si>
    <t>Por iniciar</t>
  </si>
  <si>
    <t>Implementacion de cortinero Easy Wave</t>
  </si>
  <si>
    <t>En progreso</t>
  </si>
  <si>
    <t>Crear modulo en drapes para el cortinero CS en sistema Easy Wave</t>
  </si>
  <si>
    <t>Extra</t>
  </si>
  <si>
    <t>Crear modulo en drapes para la confeccion Ondulada Easy Wave</t>
  </si>
  <si>
    <t>Pausado</t>
  </si>
  <si>
    <t>Log</t>
  </si>
  <si>
    <t>Sistema de embarques</t>
  </si>
  <si>
    <t>Extendido</t>
  </si>
  <si>
    <t>Por terminar</t>
  </si>
  <si>
    <t>Actualizar software y optimizar el sistema de embarques (ver nota)</t>
  </si>
  <si>
    <t>Logistica</t>
  </si>
  <si>
    <t>DNP</t>
  </si>
  <si>
    <t>Sistema de costeo</t>
  </si>
  <si>
    <t>Crear un sistema de costeo de nuevos productos y solicitudes de costeo de ventas</t>
  </si>
  <si>
    <t>DNP / Costos / Ventas</t>
  </si>
  <si>
    <t>Proyectos de desarrollo -Marcial</t>
  </si>
  <si>
    <t>Prod</t>
  </si>
  <si>
    <t>Sistema de administracion de instalaciones</t>
  </si>
  <si>
    <t>Crear programa de administracion de control de instalaciones y comisiones</t>
  </si>
  <si>
    <t>Se agrego a este proyecto la parte de toma de medidas residencial y de hoteleria</t>
  </si>
  <si>
    <t>Se agrego a este proyecto el modulo de Rectificacion de toma de medidas</t>
  </si>
  <si>
    <t>Se agrego la orden de fabricacion y confeccion</t>
  </si>
  <si>
    <t>Catalogos restantes y pruebas para puesta en productivo</t>
  </si>
  <si>
    <t>Migracion a nueva tecnologia del portal SIMO e implementacion de mejoras</t>
  </si>
  <si>
    <t>RRHH</t>
  </si>
  <si>
    <t>Sistema de administracion de colaboradores</t>
  </si>
  <si>
    <t>Creacion del sistema de administracion de empleados, contratos, vacaciones, etc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</si>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</sst>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6100"/>
      <name val="Calibri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9C5700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8" tint="0.39997558519241921"/>
      </left>
      <right/>
      <top/>
      <bottom style="thin">
        <color theme="8" tint="0.39997558519241921"/>
      </bottom>
      <diagonal/>
    </border>
    <border>
      <left/>
      <right/>
      <top/>
      <bottom style="thin">
        <color theme="8" tint="0.3999755851924192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4" fillId="3" borderId="0" applyNumberFormat="0" applyBorder="0" applyAlignment="0" applyProtection="0"/>
    <xf numFmtId="0" fontId="8" fillId="11" borderId="0" applyNumberFormat="0" applyBorder="0" applyAlignment="0" applyProtection="0"/>
  </cellStyleXfs>
  <cellXfs count="93">
    <xf numFmtId="0" fontId="0" fillId="0" borderId="0" xfId="0"/>
    <xf numFmtId="0" fontId="3" fillId="0" borderId="0" xfId="0" applyFont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wrapText="1"/>
    </xf>
    <xf numFmtId="0" fontId="0" fillId="0" borderId="4" xfId="0" applyBorder="1"/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164" fontId="0" fillId="0" borderId="6" xfId="0" applyNumberFormat="1" applyBorder="1"/>
    <xf numFmtId="164" fontId="0" fillId="0" borderId="0" xfId="0" applyNumberFormat="1"/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0" fillId="6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0" fillId="9" borderId="0" xfId="0" applyFill="1" applyAlignment="1">
      <alignment wrapText="1"/>
    </xf>
    <xf numFmtId="0" fontId="0" fillId="9" borderId="4" xfId="0" applyFill="1" applyBorder="1" applyAlignment="1">
      <alignment horizontal="center" vertical="center"/>
    </xf>
    <xf numFmtId="164" fontId="0" fillId="9" borderId="6" xfId="0" applyNumberFormat="1" applyFill="1" applyBorder="1"/>
    <xf numFmtId="164" fontId="0" fillId="6" borderId="6" xfId="0" applyNumberFormat="1" applyFill="1" applyBorder="1"/>
    <xf numFmtId="164" fontId="0" fillId="5" borderId="6" xfId="0" applyNumberFormat="1" applyFill="1" applyBorder="1"/>
    <xf numFmtId="0" fontId="0" fillId="6" borderId="0" xfId="0" applyFill="1" applyAlignment="1">
      <alignment horizontal="center" vertical="center" wrapText="1"/>
    </xf>
    <xf numFmtId="0" fontId="2" fillId="0" borderId="0" xfId="0" applyFont="1"/>
    <xf numFmtId="0" fontId="6" fillId="0" borderId="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wrapText="1"/>
    </xf>
    <xf numFmtId="0" fontId="0" fillId="0" borderId="9" xfId="0" applyBorder="1" applyAlignment="1">
      <alignment horizontal="center" vertical="center"/>
    </xf>
    <xf numFmtId="0" fontId="0" fillId="10" borderId="8" xfId="0" applyFill="1" applyBorder="1" applyAlignment="1">
      <alignment vertical="center" wrapText="1"/>
    </xf>
    <xf numFmtId="0" fontId="0" fillId="10" borderId="7" xfId="0" applyFill="1" applyBorder="1" applyAlignment="1">
      <alignment vertical="center" wrapText="1"/>
    </xf>
    <xf numFmtId="0" fontId="0" fillId="10" borderId="7" xfId="0" applyFill="1" applyBorder="1" applyAlignment="1">
      <alignment wrapText="1"/>
    </xf>
    <xf numFmtId="0" fontId="0" fillId="9" borderId="8" xfId="0" applyFill="1" applyBorder="1" applyAlignment="1">
      <alignment vertical="center" wrapText="1"/>
    </xf>
    <xf numFmtId="0" fontId="0" fillId="9" borderId="7" xfId="0" applyFill="1" applyBorder="1" applyAlignment="1">
      <alignment vertical="center" wrapText="1"/>
    </xf>
    <xf numFmtId="0" fontId="0" fillId="9" borderId="7" xfId="0" applyFill="1" applyBorder="1" applyAlignment="1">
      <alignment wrapText="1"/>
    </xf>
    <xf numFmtId="0" fontId="0" fillId="5" borderId="8" xfId="0" applyFill="1" applyBorder="1" applyAlignment="1">
      <alignment vertical="center" wrapText="1"/>
    </xf>
    <xf numFmtId="0" fontId="0" fillId="5" borderId="7" xfId="0" applyFill="1" applyBorder="1" applyAlignment="1">
      <alignment vertical="center" wrapText="1"/>
    </xf>
    <xf numFmtId="0" fontId="0" fillId="5" borderId="7" xfId="0" applyFill="1" applyBorder="1" applyAlignment="1">
      <alignment wrapText="1"/>
    </xf>
    <xf numFmtId="0" fontId="0" fillId="6" borderId="8" xfId="0" applyFill="1" applyBorder="1" applyAlignment="1">
      <alignment vertical="center" wrapText="1"/>
    </xf>
    <xf numFmtId="0" fontId="0" fillId="6" borderId="7" xfId="0" applyFill="1" applyBorder="1" applyAlignment="1">
      <alignment vertical="center" wrapText="1"/>
    </xf>
    <xf numFmtId="0" fontId="0" fillId="6" borderId="7" xfId="0" applyFill="1" applyBorder="1" applyAlignment="1">
      <alignment wrapText="1"/>
    </xf>
    <xf numFmtId="0" fontId="5" fillId="7" borderId="10" xfId="0" applyFont="1" applyFill="1" applyBorder="1"/>
    <xf numFmtId="0" fontId="5" fillId="7" borderId="11" xfId="0" applyFont="1" applyFill="1" applyBorder="1"/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4" fontId="0" fillId="0" borderId="2" xfId="0" applyNumberFormat="1" applyBorder="1"/>
    <xf numFmtId="0" fontId="2" fillId="0" borderId="2" xfId="0" applyFont="1" applyBorder="1"/>
    <xf numFmtId="0" fontId="4" fillId="3" borderId="2" xfId="1" applyBorder="1"/>
    <xf numFmtId="0" fontId="8" fillId="11" borderId="2" xfId="2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12" borderId="2" xfId="0" applyFill="1" applyBorder="1"/>
    <xf numFmtId="0" fontId="4" fillId="5" borderId="2" xfId="1" applyFill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8" fillId="0" borderId="2" xfId="2" applyFill="1" applyBorder="1"/>
    <xf numFmtId="0" fontId="4" fillId="3" borderId="2" xfId="1" applyBorder="1" applyAlignment="1">
      <alignment horizontal="center"/>
    </xf>
    <xf numFmtId="0" fontId="0" fillId="5" borderId="2" xfId="0" applyFill="1" applyBorder="1"/>
    <xf numFmtId="0" fontId="0" fillId="5" borderId="2" xfId="0" applyFill="1" applyBorder="1" applyAlignment="1">
      <alignment horizontal="center"/>
    </xf>
    <xf numFmtId="0" fontId="0" fillId="0" borderId="16" xfId="0" applyBorder="1"/>
    <xf numFmtId="0" fontId="4" fillId="5" borderId="16" xfId="1" applyFill="1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5" borderId="16" xfId="0" applyFill="1" applyBorder="1"/>
    <xf numFmtId="0" fontId="0" fillId="5" borderId="1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4" fillId="2" borderId="2" xfId="1" applyFill="1" applyBorder="1" applyAlignment="1">
      <alignment horizontal="center"/>
    </xf>
    <xf numFmtId="0" fontId="5" fillId="7" borderId="7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0" xfId="0" applyFont="1" applyAlignment="1">
      <alignment horizontal="center" vertical="center"/>
    </xf>
  </cellXfs>
  <cellStyles count="3">
    <cellStyle name="Bueno" xfId="1" builtinId="26"/>
    <cellStyle name="Neutral" xfId="2" builtinId="28"/>
    <cellStyle name="Normal" xfId="0" builtinId="0"/>
  </cellStyles>
  <dxfs count="38">
    <dxf>
      <border outline="0">
        <bottom style="thin">
          <color theme="8" tint="0.39997558519241921"/>
        </bottom>
      </border>
    </dxf>
    <dxf>
      <border outline="0">
        <top style="thin">
          <color theme="8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</dxf>
    <dxf>
      <alignment horizontal="general" vertical="center" textRotation="0" indent="0" justifyLastLine="0" shrinkToFit="0" readingOrder="0"/>
    </dxf>
    <dxf>
      <numFmt numFmtId="164" formatCode="&quot;$&quot;#,##0.00"/>
      <fill>
        <patternFill patternType="none"/>
      </fill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  <border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vertical="center" wrapText="1"/>
    </dxf>
    <dxf>
      <alignment wrapText="1"/>
    </dxf>
    <dxf>
      <alignment vertical="center" wrapText="1"/>
    </dxf>
    <dxf>
      <alignment wrapText="1"/>
    </dxf>
    <dxf>
      <numFmt numFmtId="164" formatCode="&quot;$&quot;#,##0.00"/>
      <fill>
        <patternFill patternType="none"/>
      </fill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  <border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vertical="center" wrapText="1"/>
    </dxf>
    <dxf>
      <alignment wrapText="1"/>
    </dxf>
    <dxf>
      <alignment vertical="center"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51B3D6-4E81-434C-AA2E-2D21C7DB96AF}" name="Tabla25" displayName="Tabla25" ref="B3:R14" totalsRowShown="0">
  <autoFilter ref="B3:R14" xr:uid="{12C6DCC5-39B8-47E8-A42E-D29F3858101E}"/>
  <tableColumns count="17">
    <tableColumn id="1" xr3:uid="{B6EB5406-296C-4B13-8FC7-87A037040C86}" name="Proyecto" dataDxfId="37"/>
    <tableColumn id="2" xr3:uid="{CB8BFE00-2324-4024-8F78-E0AEB095DB0C}" name="Tiempo estimado" dataDxfId="36"/>
    <tableColumn id="3" xr3:uid="{A8FFA5A0-A469-483B-A988-B7DD75D0042C}" name="Descripcion" dataDxfId="35"/>
    <tableColumn id="4" xr3:uid="{735DC8F5-C3FA-48C8-9956-8904C14A6C27}" name="Areas de apoyo" dataDxfId="34"/>
    <tableColumn id="6" xr3:uid="{283D8A64-C087-4EAF-8DA1-FA6E59DA4DC0}" name="Ene" dataDxfId="33"/>
    <tableColumn id="7" xr3:uid="{76A41FDF-3C4A-4878-AB8E-C0FF9D86212E}" name="Feb" dataDxfId="32"/>
    <tableColumn id="8" xr3:uid="{31C291AC-97E9-48B2-A29B-D37F3E08FEAB}" name="Mar" dataDxfId="31"/>
    <tableColumn id="9" xr3:uid="{F1644F6D-3756-405B-94C3-DD8203DF88D9}" name="Abr" dataDxfId="30"/>
    <tableColumn id="10" xr3:uid="{62A8442E-D6A9-41ED-97DF-EA85FE16A7CE}" name="May" dataDxfId="29"/>
    <tableColumn id="11" xr3:uid="{FD121D7D-EBB2-4D50-B0D2-D2BFBEB6A323}" name="Jun" dataDxfId="28"/>
    <tableColumn id="12" xr3:uid="{FCA84EB6-A64D-4621-BD3D-049A5F366A41}" name="Jul" dataDxfId="27"/>
    <tableColumn id="13" xr3:uid="{BE1A0ACC-AF58-4FB1-AB8A-D3AEE3ED56DD}" name="Ago" dataDxfId="26"/>
    <tableColumn id="14" xr3:uid="{CCEB9BA3-A552-470C-AF74-37D260D974A8}" name="Sep" dataDxfId="25"/>
    <tableColumn id="15" xr3:uid="{D9EE3DAA-2019-466D-9D81-CAB9261D0EB2}" name="Oct" dataDxfId="24"/>
    <tableColumn id="16" xr3:uid="{7F380BD9-75F4-48E6-91A4-409ABC0E6E99}" name="Nov" dataDxfId="23"/>
    <tableColumn id="17" xr3:uid="{3AC766BB-E0E5-45FD-8CE6-C62C688F9F70}" name="Dic" dataDxfId="22"/>
    <tableColumn id="18" xr3:uid="{0693674D-CB45-4DBD-B22F-01249BA319C3}" name="Bonificacion" dataDxfId="21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EA5ED1-B824-4960-AE7C-6FB27BB3B94B}" name="Tabla22" displayName="Tabla22" ref="B3:R8" totalsRowShown="0">
  <autoFilter ref="B3:R8" xr:uid="{12C6DCC5-39B8-47E8-A42E-D29F3858101E}"/>
  <tableColumns count="17">
    <tableColumn id="1" xr3:uid="{E71EA019-650F-40F8-AEB8-33AD4FACFE09}" name="Proyecto" dataDxfId="20"/>
    <tableColumn id="2" xr3:uid="{B152858C-739B-4F47-B6F3-307597F42A48}" name="Tiempo estimado" dataDxfId="19"/>
    <tableColumn id="3" xr3:uid="{E08C77BD-6AF6-44F5-853C-A46721929E45}" name="Descripcion" dataDxfId="18"/>
    <tableColumn id="4" xr3:uid="{97635FFF-F56E-465D-95E8-B0CE5227F09E}" name="Areas de apoyo" dataDxfId="17"/>
    <tableColumn id="6" xr3:uid="{C8F68C30-5632-4142-BB07-164E0B469093}" name="Ene" dataDxfId="16"/>
    <tableColumn id="7" xr3:uid="{C34470F4-B2C5-4011-9774-34FB41ADB5B0}" name="Feb" dataDxfId="15"/>
    <tableColumn id="8" xr3:uid="{A26195DF-3C3D-47D5-A163-21E483E91090}" name="Mar" dataDxfId="14"/>
    <tableColumn id="9" xr3:uid="{8CA49F88-FFBA-4257-8C6E-D198AF13A63A}" name="Abr" dataDxfId="13"/>
    <tableColumn id="10" xr3:uid="{C7E7725F-D620-4320-B822-AEB7174C5270}" name="May" dataDxfId="12"/>
    <tableColumn id="11" xr3:uid="{2F21DBCC-C6CE-4589-B82F-F2B057544C43}" name="Jun" dataDxfId="11"/>
    <tableColumn id="12" xr3:uid="{54DFDCC5-2A9C-48C9-B2F6-A6658381365B}" name="Jul" dataDxfId="10"/>
    <tableColumn id="13" xr3:uid="{A9E95E6F-BB01-4D9B-B47F-C64B2BBE2AEF}" name="Ago" dataDxfId="9"/>
    <tableColumn id="14" xr3:uid="{B7464108-7A0D-49FB-A2F3-073DDDF41517}" name="Sep" dataDxfId="8"/>
    <tableColumn id="15" xr3:uid="{863AAE84-5FE5-40A4-8871-EDBF13361817}" name="Oct" dataDxfId="7"/>
    <tableColumn id="16" xr3:uid="{8E85ADE4-A5CC-4D73-8DFC-086D00C33CAF}" name="Nov" dataDxfId="6"/>
    <tableColumn id="17" xr3:uid="{CD457BA6-548F-42ED-BD56-EA7AB880EF60}" name="Dic" dataDxfId="5"/>
    <tableColumn id="18" xr3:uid="{B43E2705-93D4-49E9-BF75-3951A2BE21F6}" name="Bonificacion" dataDxfId="4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C10C32-C6E3-4D9D-AF3D-8DEDDF289734}" name="Tabla3" displayName="Tabla3" ref="B12:R16" totalsRowShown="0">
  <autoFilter ref="B12:R16" xr:uid="{1AC10C32-C6E3-4D9D-AF3D-8DEDDF289734}"/>
  <tableColumns count="17">
    <tableColumn id="1" xr3:uid="{71C2D20D-CE3B-451E-953B-B4B87275BCD3}" name="Proyecto" dataDxfId="3"/>
    <tableColumn id="2" xr3:uid="{D28CA471-79E6-4365-98B4-04BF29328B39}" name="Tiempo estimado"/>
    <tableColumn id="3" xr3:uid="{F64CB572-4136-4C29-A3B2-9CEE9541ABFD}" name="Descripcion"/>
    <tableColumn id="4" xr3:uid="{79928664-9E90-4FCA-8C00-56BD1717BF6C}" name="Areas de apoyo"/>
    <tableColumn id="5" xr3:uid="{648005AB-24D0-4135-8ECE-8007B85E3AF9}" name="Ene"/>
    <tableColumn id="6" xr3:uid="{137DD0E3-B579-4109-9F86-81ACCE73D59D}" name="Feb"/>
    <tableColumn id="7" xr3:uid="{15B8DD85-A5C1-4DB3-87A4-EFDCEAD7234D}" name="Mar"/>
    <tableColumn id="8" xr3:uid="{B1C1D5D1-8FDB-4AD6-BCF4-18612FBD6A58}" name="Abr"/>
    <tableColumn id="9" xr3:uid="{A4F5089D-F880-4EBD-B203-8A4ECACA5BCF}" name="May"/>
    <tableColumn id="10" xr3:uid="{88DB4E55-33C4-4549-9C8B-48BD8A75186A}" name="Jun"/>
    <tableColumn id="11" xr3:uid="{A0F407A5-9AC4-48EE-AABD-41BDEC297C08}" name="Jul"/>
    <tableColumn id="12" xr3:uid="{FFF62049-C513-4BD5-BC9B-02A892755163}" name="Ago"/>
    <tableColumn id="13" xr3:uid="{DF5ECFAD-63D5-4B4E-A77E-D0B748126CEB}" name="Sep"/>
    <tableColumn id="14" xr3:uid="{D41AF9D6-8CA6-4899-B9E6-BF84AB46084F}" name="Oct"/>
    <tableColumn id="15" xr3:uid="{7EF705D6-E345-4843-9951-E23D30005A2B}" name="Nov"/>
    <tableColumn id="16" xr3:uid="{8A41694B-1A7F-4395-A44B-C7CF348B9377}" name="Dic"/>
    <tableColumn id="17" xr3:uid="{4FCF236D-B2F7-43BE-B3E4-96D385C11F0B}" name="Bonificacion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6AFFE13-39DB-4453-8891-96E3FA715F8C}" name="Tabla5" displayName="Tabla5" ref="B19:E29" totalsRowShown="0" headerRowDxfId="2" headerRowBorderDxfId="0" tableBorderDxfId="1">
  <autoFilter ref="B19:E29" xr:uid="{06AFFE13-39DB-4453-8891-96E3FA715F8C}"/>
  <tableColumns count="4">
    <tableColumn id="1" xr3:uid="{1EA7D85A-B727-4E9A-BB06-3C1C51EBC608}" name="Proyecto"/>
    <tableColumn id="2" xr3:uid="{A6FFEF54-7B61-487C-B21D-B953BD9A416C}" name="Tiempo estimado"/>
    <tableColumn id="3" xr3:uid="{4D8047B2-3F1C-4F8F-A58A-FBA7F5745FB2}" name="Descripcion"/>
    <tableColumn id="4" xr3:uid="{5D61F21A-B873-47DF-8D98-D0B646B0C5A5}" name="Areas de apoy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B629-7D6E-494F-B1A7-C8312E4BF3FF}">
  <sheetPr>
    <pageSetUpPr fitToPage="1"/>
  </sheetPr>
  <dimension ref="A1:T14"/>
  <sheetViews>
    <sheetView zoomScale="70" zoomScaleNormal="70" workbookViewId="0">
      <selection activeCell="B5" sqref="B5"/>
    </sheetView>
  </sheetViews>
  <sheetFormatPr defaultColWidth="11.42578125" defaultRowHeight="15"/>
  <cols>
    <col min="2" max="2" width="36.85546875" customWidth="1"/>
    <col min="3" max="3" width="12" customWidth="1"/>
    <col min="4" max="4" width="35.42578125" customWidth="1"/>
    <col min="5" max="5" width="29.85546875" bestFit="1" customWidth="1"/>
    <col min="6" max="6" width="6.7109375" customWidth="1"/>
    <col min="7" max="7" width="6.5703125" customWidth="1"/>
    <col min="8" max="8" width="7.140625" customWidth="1"/>
    <col min="9" max="9" width="6.5703125" customWidth="1"/>
    <col min="10" max="10" width="7.42578125" customWidth="1"/>
    <col min="11" max="11" width="6.42578125" customWidth="1"/>
    <col min="12" max="12" width="6.140625" customWidth="1"/>
    <col min="13" max="13" width="6.85546875" customWidth="1"/>
    <col min="14" max="14" width="6.7109375" customWidth="1"/>
    <col min="15" max="15" width="6.5703125" customWidth="1"/>
    <col min="16" max="16" width="7" customWidth="1"/>
    <col min="17" max="17" width="6.140625" customWidth="1"/>
    <col min="18" max="18" width="14.28515625" customWidth="1"/>
  </cols>
  <sheetData>
    <row r="1" spans="1:20" ht="18.75">
      <c r="B1" s="1" t="s">
        <v>0</v>
      </c>
    </row>
    <row r="2" spans="1:20">
      <c r="F2" s="82" t="s">
        <v>1</v>
      </c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S2" s="15">
        <v>500</v>
      </c>
    </row>
    <row r="3" spans="1:20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s="18" t="s">
        <v>19</v>
      </c>
    </row>
    <row r="4" spans="1:20" ht="30">
      <c r="A4" s="83" t="s">
        <v>20</v>
      </c>
      <c r="B4" s="21" t="s">
        <v>21</v>
      </c>
      <c r="C4" s="21" t="s">
        <v>22</v>
      </c>
      <c r="D4" s="4" t="s">
        <v>23</v>
      </c>
      <c r="E4" s="21" t="s">
        <v>24</v>
      </c>
      <c r="F4" s="10"/>
      <c r="G4" s="9" t="s">
        <v>25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4">
        <v>5000</v>
      </c>
      <c r="S4" s="19">
        <f>Tabla25[[#This Row],[Bonificacion]]/S$2</f>
        <v>10</v>
      </c>
      <c r="T4" s="92" t="s">
        <v>25</v>
      </c>
    </row>
    <row r="5" spans="1:20" ht="15" customHeight="1">
      <c r="A5" s="83"/>
      <c r="B5" s="21" t="s">
        <v>26</v>
      </c>
      <c r="C5" s="21" t="s">
        <v>27</v>
      </c>
      <c r="D5" s="4" t="s">
        <v>28</v>
      </c>
      <c r="E5" s="21" t="s">
        <v>29</v>
      </c>
      <c r="F5" s="10"/>
      <c r="G5" s="10"/>
      <c r="H5" s="13"/>
      <c r="I5" s="10"/>
      <c r="J5" s="10"/>
      <c r="K5" s="10"/>
      <c r="L5" s="10"/>
      <c r="M5" s="10"/>
      <c r="N5" s="10"/>
      <c r="O5" s="10"/>
      <c r="P5" s="10"/>
      <c r="Q5" s="9" t="s">
        <v>25</v>
      </c>
      <c r="R5" s="14" t="s">
        <v>30</v>
      </c>
      <c r="S5" s="19" t="s">
        <v>30</v>
      </c>
      <c r="T5" s="92"/>
    </row>
    <row r="6" spans="1:20" ht="60">
      <c r="A6" s="83"/>
      <c r="B6" s="21" t="s">
        <v>31</v>
      </c>
      <c r="C6" s="21" t="s">
        <v>32</v>
      </c>
      <c r="D6" s="4" t="s">
        <v>33</v>
      </c>
      <c r="E6" s="21" t="s">
        <v>34</v>
      </c>
      <c r="F6" s="10"/>
      <c r="G6" s="10"/>
      <c r="H6" s="10"/>
      <c r="I6" s="9" t="s">
        <v>25</v>
      </c>
      <c r="J6" s="10"/>
      <c r="K6" s="10"/>
      <c r="L6" s="10"/>
      <c r="M6" s="10"/>
      <c r="N6" s="10"/>
      <c r="O6" s="10"/>
      <c r="P6" s="10"/>
      <c r="Q6" s="10"/>
      <c r="R6" s="14">
        <v>15000</v>
      </c>
      <c r="S6" s="19">
        <f>Tabla25[[#This Row],[Bonificacion]]/S$2</f>
        <v>30</v>
      </c>
      <c r="T6" s="92"/>
    </row>
    <row r="7" spans="1:20" ht="30">
      <c r="A7" s="83"/>
      <c r="B7" s="21" t="s">
        <v>35</v>
      </c>
      <c r="C7" s="21" t="s">
        <v>36</v>
      </c>
      <c r="D7" s="4" t="s">
        <v>37</v>
      </c>
      <c r="E7" s="21" t="s">
        <v>38</v>
      </c>
      <c r="F7" s="10"/>
      <c r="G7" s="10"/>
      <c r="H7" s="10"/>
      <c r="I7" s="10"/>
      <c r="J7" s="13"/>
      <c r="K7" s="10"/>
      <c r="L7" s="10"/>
      <c r="M7" s="10"/>
      <c r="N7" s="10"/>
      <c r="O7" s="10"/>
      <c r="P7" s="9" t="s">
        <v>25</v>
      </c>
      <c r="Q7" s="10"/>
      <c r="R7" s="14">
        <v>5000</v>
      </c>
      <c r="S7" s="19">
        <f>Tabla25[[#This Row],[Bonificacion]]/S$2</f>
        <v>10</v>
      </c>
      <c r="T7" s="92"/>
    </row>
    <row r="8" spans="1:20" ht="30">
      <c r="A8" s="6" t="s">
        <v>39</v>
      </c>
      <c r="B8" s="22" t="s">
        <v>40</v>
      </c>
      <c r="C8" s="22" t="s">
        <v>32</v>
      </c>
      <c r="D8" s="16" t="s">
        <v>41</v>
      </c>
      <c r="E8" s="22" t="s">
        <v>42</v>
      </c>
      <c r="F8" s="11"/>
      <c r="G8" s="11"/>
      <c r="H8" s="11"/>
      <c r="I8" s="11"/>
      <c r="J8" s="11"/>
      <c r="K8" s="9" t="s">
        <v>25</v>
      </c>
      <c r="L8" s="9" t="s">
        <v>25</v>
      </c>
      <c r="M8" s="11"/>
      <c r="N8" s="11"/>
      <c r="O8" s="11"/>
      <c r="P8" s="11"/>
      <c r="Q8" s="11"/>
      <c r="R8" s="14">
        <v>15000</v>
      </c>
      <c r="S8" s="19">
        <f>Tabla25[[#This Row],[Bonificacion]]/S$2</f>
        <v>30</v>
      </c>
      <c r="T8" s="92"/>
    </row>
    <row r="9" spans="1:20" ht="60">
      <c r="A9" s="7" t="s">
        <v>43</v>
      </c>
      <c r="B9" s="21" t="s">
        <v>44</v>
      </c>
      <c r="C9" s="21" t="s">
        <v>45</v>
      </c>
      <c r="D9" s="4" t="s">
        <v>46</v>
      </c>
      <c r="E9" s="21" t="s">
        <v>47</v>
      </c>
      <c r="F9" s="10"/>
      <c r="G9" s="9" t="s">
        <v>25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4">
        <v>4000</v>
      </c>
      <c r="S9" s="19">
        <f>Tabla25[[#This Row],[Bonificacion]]/S$2</f>
        <v>8</v>
      </c>
      <c r="T9" s="92" t="s">
        <v>25</v>
      </c>
    </row>
    <row r="10" spans="1:20" ht="60">
      <c r="A10" s="29" t="s">
        <v>48</v>
      </c>
      <c r="B10" s="20" t="s">
        <v>49</v>
      </c>
      <c r="C10" s="20" t="s">
        <v>50</v>
      </c>
      <c r="D10" s="17" t="s">
        <v>51</v>
      </c>
      <c r="E10" s="20" t="s">
        <v>52</v>
      </c>
      <c r="F10" s="8"/>
      <c r="G10" s="8"/>
      <c r="H10" s="9" t="s">
        <v>25</v>
      </c>
      <c r="I10" s="9" t="s">
        <v>25</v>
      </c>
      <c r="J10" s="9" t="s">
        <v>25</v>
      </c>
      <c r="K10" s="8"/>
      <c r="L10" s="8"/>
      <c r="M10" s="8"/>
      <c r="N10" s="8"/>
      <c r="O10" s="8"/>
      <c r="P10" s="8"/>
      <c r="Q10" s="8"/>
      <c r="R10" s="14">
        <v>25000</v>
      </c>
      <c r="S10" s="19">
        <f>Tabla25[[#This Row],[Bonificacion]]/S$2</f>
        <v>50</v>
      </c>
      <c r="T10" s="92"/>
    </row>
    <row r="11" spans="1:20" ht="30">
      <c r="A11" s="29"/>
      <c r="B11" s="21" t="s">
        <v>53</v>
      </c>
      <c r="C11" s="21" t="s">
        <v>50</v>
      </c>
      <c r="D11" s="4" t="s">
        <v>54</v>
      </c>
      <c r="E11" s="21" t="s">
        <v>55</v>
      </c>
      <c r="F11" s="10"/>
      <c r="G11" s="10"/>
      <c r="H11" s="10"/>
      <c r="I11" s="10"/>
      <c r="J11" s="10"/>
      <c r="K11" s="10"/>
      <c r="L11" s="10"/>
      <c r="M11" s="10"/>
      <c r="N11" s="10"/>
      <c r="O11" s="9" t="s">
        <v>25</v>
      </c>
      <c r="P11" s="9" t="s">
        <v>25</v>
      </c>
      <c r="Q11" s="9" t="s">
        <v>25</v>
      </c>
      <c r="R11" s="14">
        <v>25000</v>
      </c>
      <c r="S11" s="19">
        <f>Tabla25[[#This Row],[Bonificacion]]/S$2</f>
        <v>50</v>
      </c>
      <c r="T11" s="92"/>
    </row>
    <row r="12" spans="1:20">
      <c r="A12" s="29"/>
      <c r="B12" s="20" t="s">
        <v>56</v>
      </c>
      <c r="C12" s="20" t="s">
        <v>32</v>
      </c>
      <c r="D12" s="17" t="s">
        <v>57</v>
      </c>
      <c r="E12" s="20" t="s">
        <v>58</v>
      </c>
      <c r="F12" s="8"/>
      <c r="G12" s="8"/>
      <c r="H12" s="8"/>
      <c r="I12" s="8"/>
      <c r="J12" s="8"/>
      <c r="K12" s="8"/>
      <c r="L12" s="8"/>
      <c r="M12" s="12" t="s">
        <v>25</v>
      </c>
      <c r="N12" s="12" t="s">
        <v>25</v>
      </c>
      <c r="O12" s="8"/>
      <c r="P12" s="8"/>
      <c r="Q12" s="8"/>
      <c r="R12" s="14">
        <v>5000</v>
      </c>
      <c r="S12" s="19">
        <f>Tabla25[[#This Row],[Bonificacion]]/S$2</f>
        <v>10</v>
      </c>
      <c r="T12" s="92"/>
    </row>
    <row r="13" spans="1:20" ht="30">
      <c r="A13" s="29"/>
      <c r="B13" s="21" t="s">
        <v>59</v>
      </c>
      <c r="C13" s="21" t="s">
        <v>27</v>
      </c>
      <c r="D13" s="4" t="s">
        <v>54</v>
      </c>
      <c r="E13" s="21" t="s">
        <v>60</v>
      </c>
      <c r="F13" s="10"/>
      <c r="G13" s="10"/>
      <c r="H13" s="10"/>
      <c r="I13" s="10"/>
      <c r="J13" s="10"/>
      <c r="K13" s="9" t="s">
        <v>25</v>
      </c>
      <c r="L13" s="10"/>
      <c r="M13" s="10"/>
      <c r="N13" s="10"/>
      <c r="O13" s="10"/>
      <c r="P13" s="10"/>
      <c r="Q13" s="10"/>
      <c r="R13" s="14">
        <v>15000</v>
      </c>
      <c r="S13" s="19">
        <f>Tabla25[[#This Row],[Bonificacion]]/S$2</f>
        <v>30</v>
      </c>
      <c r="T13" s="92" t="s">
        <v>25</v>
      </c>
    </row>
    <row r="14" spans="1:20" ht="45">
      <c r="A14" s="29"/>
      <c r="B14" s="20" t="s">
        <v>61</v>
      </c>
      <c r="C14" s="20" t="s">
        <v>36</v>
      </c>
      <c r="D14" s="17" t="s">
        <v>62</v>
      </c>
      <c r="E14" s="20" t="s">
        <v>63</v>
      </c>
      <c r="F14" s="8"/>
      <c r="G14" s="8"/>
      <c r="H14" s="9" t="s">
        <v>25</v>
      </c>
      <c r="I14" s="8"/>
      <c r="J14" s="8"/>
      <c r="K14" s="8"/>
      <c r="L14" s="8"/>
      <c r="M14" s="8"/>
      <c r="N14" s="8"/>
      <c r="O14" s="8"/>
      <c r="P14" s="8"/>
      <c r="Q14" s="8"/>
      <c r="R14" s="14">
        <v>5000</v>
      </c>
      <c r="S14" s="19">
        <f>Tabla25[[#This Row],[Bonificacion]]/S$2</f>
        <v>10</v>
      </c>
      <c r="T14" s="92" t="s">
        <v>25</v>
      </c>
    </row>
  </sheetData>
  <mergeCells count="2">
    <mergeCell ref="F2:Q2"/>
    <mergeCell ref="A4:A7"/>
  </mergeCells>
  <pageMargins left="0.25" right="0.25" top="0.75" bottom="0.75" header="0.3" footer="0.3"/>
  <pageSetup scale="5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55FB-13FC-4B9F-BBB7-A8810BBFC39B}">
  <sheetPr>
    <pageSetUpPr fitToPage="1"/>
  </sheetPr>
  <dimension ref="A1:T51"/>
  <sheetViews>
    <sheetView topLeftCell="A26" zoomScale="80" zoomScaleNormal="80" workbookViewId="0">
      <selection activeCell="B16" sqref="B16"/>
    </sheetView>
  </sheetViews>
  <sheetFormatPr defaultColWidth="11.42578125" defaultRowHeight="15"/>
  <cols>
    <col min="2" max="2" width="48.7109375" customWidth="1"/>
    <col min="3" max="3" width="22.42578125" customWidth="1"/>
    <col min="4" max="4" width="35.42578125" customWidth="1"/>
    <col min="5" max="5" width="29.85546875" bestFit="1" customWidth="1"/>
    <col min="6" max="7" width="7" customWidth="1"/>
    <col min="8" max="8" width="7.140625" customWidth="1"/>
    <col min="9" max="9" width="6.5703125" customWidth="1"/>
    <col min="10" max="10" width="7.42578125" customWidth="1"/>
    <col min="11" max="11" width="6.7109375" customWidth="1"/>
    <col min="12" max="12" width="6.140625" customWidth="1"/>
    <col min="13" max="14" width="7.140625" customWidth="1"/>
    <col min="15" max="15" width="6.7109375" customWidth="1"/>
    <col min="16" max="16" width="7" customWidth="1"/>
    <col min="17" max="17" width="6.28515625" customWidth="1"/>
    <col min="18" max="18" width="15.140625" customWidth="1"/>
  </cols>
  <sheetData>
    <row r="1" spans="1:20" ht="18.75">
      <c r="B1" s="1" t="s">
        <v>64</v>
      </c>
    </row>
    <row r="2" spans="1:20">
      <c r="F2" s="82" t="s">
        <v>1</v>
      </c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S2" s="15">
        <v>500</v>
      </c>
    </row>
    <row r="3" spans="1:20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s="18" t="s">
        <v>19</v>
      </c>
    </row>
    <row r="4" spans="1:20" ht="60">
      <c r="A4" s="83" t="s">
        <v>20</v>
      </c>
      <c r="B4" s="21" t="s">
        <v>31</v>
      </c>
      <c r="C4" s="21" t="s">
        <v>32</v>
      </c>
      <c r="D4" s="4" t="s">
        <v>33</v>
      </c>
      <c r="E4" s="21" t="s">
        <v>34</v>
      </c>
      <c r="F4" s="10"/>
      <c r="G4" s="10"/>
      <c r="H4" s="10"/>
      <c r="I4" s="10"/>
      <c r="J4" s="9" t="s">
        <v>25</v>
      </c>
      <c r="K4" s="10"/>
      <c r="L4" s="10"/>
      <c r="M4" s="10"/>
      <c r="N4" s="10"/>
      <c r="O4" s="10"/>
      <c r="P4" s="10"/>
      <c r="Q4" s="10"/>
      <c r="R4" s="14">
        <v>15000</v>
      </c>
      <c r="S4" s="19">
        <f>Tabla22[[#This Row],[Bonificacion]]/S$2</f>
        <v>30</v>
      </c>
      <c r="T4" s="92"/>
    </row>
    <row r="5" spans="1:20" ht="30">
      <c r="A5" s="83"/>
      <c r="B5" s="23" t="s">
        <v>35</v>
      </c>
      <c r="C5" s="23" t="s">
        <v>36</v>
      </c>
      <c r="D5" s="24" t="s">
        <v>37</v>
      </c>
      <c r="E5" s="23" t="s">
        <v>38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 t="s">
        <v>25</v>
      </c>
      <c r="Q5" s="25"/>
      <c r="R5" s="26">
        <v>5000</v>
      </c>
      <c r="S5" s="19">
        <f>Tabla22[[#This Row],[Bonificacion]]/S$2</f>
        <v>10</v>
      </c>
      <c r="T5" s="92"/>
    </row>
    <row r="6" spans="1:20" ht="30">
      <c r="A6" s="6" t="s">
        <v>39</v>
      </c>
      <c r="B6" s="22" t="s">
        <v>40</v>
      </c>
      <c r="C6" s="22" t="s">
        <v>32</v>
      </c>
      <c r="D6" s="16" t="s">
        <v>41</v>
      </c>
      <c r="E6" s="22" t="s">
        <v>42</v>
      </c>
      <c r="F6" s="11"/>
      <c r="G6" s="11"/>
      <c r="H6" s="11"/>
      <c r="I6" s="11"/>
      <c r="J6" s="11"/>
      <c r="K6" s="11"/>
      <c r="L6" s="11"/>
      <c r="M6" s="9" t="s">
        <v>25</v>
      </c>
      <c r="N6" s="9" t="s">
        <v>25</v>
      </c>
      <c r="O6" s="11"/>
      <c r="P6" s="11"/>
      <c r="Q6" s="11"/>
      <c r="R6" s="28">
        <v>15000</v>
      </c>
      <c r="S6" s="19">
        <f>Tabla22[[#This Row],[Bonificacion]]/S$2</f>
        <v>30</v>
      </c>
      <c r="T6" s="92"/>
    </row>
    <row r="7" spans="1:20" ht="60">
      <c r="A7" s="85" t="s">
        <v>48</v>
      </c>
      <c r="B7" s="20" t="s">
        <v>49</v>
      </c>
      <c r="C7" s="20" t="s">
        <v>50</v>
      </c>
      <c r="D7" s="17" t="s">
        <v>51</v>
      </c>
      <c r="E7" s="20" t="s">
        <v>52</v>
      </c>
      <c r="F7" s="8"/>
      <c r="G7" s="8"/>
      <c r="H7" s="8"/>
      <c r="I7" s="8"/>
      <c r="J7" s="8"/>
      <c r="K7" s="9" t="s">
        <v>25</v>
      </c>
      <c r="L7" s="9" t="s">
        <v>25</v>
      </c>
      <c r="M7" s="9" t="s">
        <v>25</v>
      </c>
      <c r="N7" s="8"/>
      <c r="O7" s="8"/>
      <c r="P7" s="8"/>
      <c r="Q7" s="8"/>
      <c r="R7" s="27">
        <v>25000</v>
      </c>
      <c r="S7" s="19">
        <f>Tabla22[[#This Row],[Bonificacion]]/S$2</f>
        <v>50</v>
      </c>
      <c r="T7" s="92"/>
    </row>
    <row r="8" spans="1:20" ht="45">
      <c r="A8" s="85"/>
      <c r="B8" s="20" t="s">
        <v>53</v>
      </c>
      <c r="C8" s="20" t="s">
        <v>50</v>
      </c>
      <c r="D8" s="17" t="s">
        <v>65</v>
      </c>
      <c r="E8" s="20" t="s">
        <v>55</v>
      </c>
      <c r="F8" s="8"/>
      <c r="G8" s="8"/>
      <c r="H8" s="8"/>
      <c r="I8" s="8"/>
      <c r="J8" s="8"/>
      <c r="K8" s="8"/>
      <c r="L8" s="8"/>
      <c r="M8" s="8"/>
      <c r="N8" s="8"/>
      <c r="O8" s="8" t="s">
        <v>25</v>
      </c>
      <c r="P8" s="8" t="s">
        <v>25</v>
      </c>
      <c r="Q8" s="8" t="s">
        <v>25</v>
      </c>
      <c r="R8" s="27">
        <v>25000</v>
      </c>
      <c r="S8" s="19">
        <f>Tabla22[[#This Row],[Bonificacion]]/S$2</f>
        <v>50</v>
      </c>
      <c r="T8" s="92"/>
    </row>
    <row r="10" spans="1:20" ht="18.75">
      <c r="B10" s="1" t="s">
        <v>66</v>
      </c>
    </row>
    <row r="11" spans="1:20">
      <c r="F11" s="82" t="s">
        <v>1</v>
      </c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</row>
    <row r="12" spans="1:20">
      <c r="B12" t="s">
        <v>2</v>
      </c>
      <c r="C12" t="s">
        <v>3</v>
      </c>
      <c r="D12" t="s">
        <v>4</v>
      </c>
      <c r="E12" t="s">
        <v>5</v>
      </c>
      <c r="F12" t="s">
        <v>6</v>
      </c>
      <c r="G12" t="s">
        <v>7</v>
      </c>
      <c r="H12" t="s">
        <v>8</v>
      </c>
      <c r="I12" t="s">
        <v>9</v>
      </c>
      <c r="J12" t="s">
        <v>10</v>
      </c>
      <c r="K12" t="s">
        <v>11</v>
      </c>
      <c r="L12" t="s">
        <v>12</v>
      </c>
      <c r="M12" t="s">
        <v>13</v>
      </c>
      <c r="N12" t="s">
        <v>14</v>
      </c>
      <c r="O12" t="s">
        <v>15</v>
      </c>
      <c r="P12" t="s">
        <v>16</v>
      </c>
      <c r="Q12" t="s">
        <v>17</v>
      </c>
      <c r="R12" t="s">
        <v>18</v>
      </c>
    </row>
    <row r="13" spans="1:20">
      <c r="B13" s="33" t="s">
        <v>56</v>
      </c>
      <c r="C13" s="34" t="s">
        <v>32</v>
      </c>
      <c r="D13" s="35" t="s">
        <v>57</v>
      </c>
      <c r="E13" s="34" t="s">
        <v>58</v>
      </c>
      <c r="F13" s="10"/>
      <c r="G13" s="10"/>
      <c r="H13" s="10"/>
      <c r="I13" s="10"/>
      <c r="J13" s="10"/>
      <c r="K13" s="32"/>
      <c r="L13" s="10"/>
      <c r="M13" s="10"/>
      <c r="N13" s="10"/>
      <c r="O13" s="10"/>
      <c r="P13" s="10"/>
      <c r="Q13" s="10"/>
      <c r="R13" s="14"/>
    </row>
    <row r="14" spans="1:20" ht="30">
      <c r="B14" s="33" t="s">
        <v>59</v>
      </c>
      <c r="C14" s="34" t="s">
        <v>32</v>
      </c>
      <c r="D14" s="35" t="s">
        <v>54</v>
      </c>
      <c r="E14" s="34" t="s">
        <v>60</v>
      </c>
      <c r="F14" s="10"/>
      <c r="G14" s="10"/>
      <c r="H14" s="10"/>
      <c r="I14" s="10"/>
      <c r="J14" s="10"/>
      <c r="L14" s="10"/>
      <c r="M14" s="10"/>
      <c r="N14" s="10"/>
      <c r="O14" s="10"/>
      <c r="P14" s="10"/>
      <c r="Q14" s="10"/>
      <c r="R14" s="14"/>
    </row>
    <row r="15" spans="1:20" ht="45">
      <c r="B15" s="33" t="s">
        <v>61</v>
      </c>
      <c r="C15" s="34" t="s">
        <v>36</v>
      </c>
      <c r="D15" s="35" t="s">
        <v>67</v>
      </c>
      <c r="E15" s="34" t="s">
        <v>63</v>
      </c>
      <c r="F15" s="36"/>
      <c r="G15" s="36"/>
      <c r="H15" s="36"/>
      <c r="I15" s="36"/>
      <c r="J15" s="36"/>
      <c r="K15" s="36"/>
      <c r="L15" s="31"/>
      <c r="M15" s="36"/>
      <c r="N15" s="36"/>
      <c r="O15" s="36"/>
      <c r="P15" s="36"/>
      <c r="Q15" s="36"/>
      <c r="R15" s="14"/>
    </row>
    <row r="16" spans="1:20" ht="180">
      <c r="B16" s="19" t="s">
        <v>68</v>
      </c>
      <c r="C16" s="19" t="s">
        <v>69</v>
      </c>
      <c r="D16" s="21" t="s">
        <v>70</v>
      </c>
      <c r="F16" s="2"/>
      <c r="G16" s="2"/>
      <c r="H16" s="2"/>
      <c r="I16" s="2"/>
      <c r="J16" s="2"/>
      <c r="K16" s="2"/>
      <c r="L16" s="31"/>
      <c r="M16" s="31"/>
      <c r="N16" s="31"/>
      <c r="O16" s="31"/>
      <c r="P16" s="31"/>
      <c r="Q16" s="31"/>
    </row>
    <row r="18" spans="1:18">
      <c r="B18" s="30"/>
      <c r="F18" s="82" t="s">
        <v>1</v>
      </c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</row>
    <row r="19" spans="1:18">
      <c r="B19" s="49" t="s">
        <v>2</v>
      </c>
      <c r="C19" s="50" t="s">
        <v>3</v>
      </c>
      <c r="D19" s="50" t="s">
        <v>4</v>
      </c>
      <c r="E19" s="50" t="s">
        <v>5</v>
      </c>
      <c r="F19" t="s">
        <v>6</v>
      </c>
      <c r="G19" t="s">
        <v>7</v>
      </c>
      <c r="H19" t="s">
        <v>8</v>
      </c>
      <c r="I19" t="s">
        <v>9</v>
      </c>
      <c r="J19" t="s">
        <v>10</v>
      </c>
      <c r="K19" t="s">
        <v>11</v>
      </c>
      <c r="L19" t="s">
        <v>12</v>
      </c>
      <c r="M19" t="s">
        <v>13</v>
      </c>
      <c r="N19" t="s">
        <v>14</v>
      </c>
      <c r="O19" t="s">
        <v>15</v>
      </c>
      <c r="P19" t="s">
        <v>16</v>
      </c>
      <c r="Q19" t="s">
        <v>17</v>
      </c>
      <c r="R19" t="s">
        <v>18</v>
      </c>
    </row>
    <row r="20" spans="1:18" ht="30">
      <c r="B20" s="37" t="s">
        <v>71</v>
      </c>
      <c r="C20" s="38"/>
      <c r="D20" s="39" t="s">
        <v>72</v>
      </c>
      <c r="E20" s="38" t="s">
        <v>34</v>
      </c>
      <c r="F20" s="51" t="s">
        <v>25</v>
      </c>
      <c r="G20" s="51"/>
      <c r="H20" s="51"/>
      <c r="I20" s="51"/>
      <c r="J20" s="51"/>
      <c r="K20" s="52"/>
      <c r="L20" s="51"/>
      <c r="M20" s="51"/>
      <c r="N20" s="51"/>
      <c r="O20" s="51"/>
      <c r="P20" s="51"/>
      <c r="Q20" s="51"/>
      <c r="R20" s="53"/>
    </row>
    <row r="21" spans="1:18" ht="30">
      <c r="B21" s="40" t="s">
        <v>73</v>
      </c>
      <c r="C21" s="41"/>
      <c r="D21" s="42" t="s">
        <v>74</v>
      </c>
      <c r="E21" s="41" t="s">
        <v>38</v>
      </c>
      <c r="F21" s="51" t="s">
        <v>25</v>
      </c>
      <c r="G21" s="51"/>
      <c r="H21" s="51"/>
      <c r="I21" s="51"/>
      <c r="J21" s="51"/>
      <c r="K21" s="2"/>
      <c r="L21" s="51"/>
      <c r="M21" s="51"/>
      <c r="N21" s="51"/>
      <c r="O21" s="51"/>
      <c r="P21" s="51"/>
      <c r="Q21" s="51"/>
      <c r="R21" s="53"/>
    </row>
    <row r="22" spans="1:18">
      <c r="B22" s="43" t="s">
        <v>38</v>
      </c>
      <c r="C22" s="44" t="s">
        <v>32</v>
      </c>
      <c r="D22" s="45" t="s">
        <v>75</v>
      </c>
      <c r="E22" s="44" t="s">
        <v>42</v>
      </c>
      <c r="F22" s="51"/>
      <c r="G22" s="51"/>
      <c r="H22" s="51"/>
      <c r="I22" s="51"/>
      <c r="J22" s="51"/>
      <c r="K22" s="51"/>
      <c r="L22" s="52"/>
      <c r="M22" s="51"/>
      <c r="N22" s="51"/>
      <c r="O22" s="51"/>
      <c r="P22" s="51"/>
      <c r="Q22" s="51"/>
      <c r="R22" s="53"/>
    </row>
    <row r="23" spans="1:18" ht="60">
      <c r="B23" s="46" t="s">
        <v>76</v>
      </c>
      <c r="C23" s="47" t="s">
        <v>50</v>
      </c>
      <c r="D23" s="48" t="s">
        <v>77</v>
      </c>
      <c r="E23" s="47" t="s">
        <v>52</v>
      </c>
      <c r="F23" s="2" t="s">
        <v>25</v>
      </c>
      <c r="G23" s="2" t="s">
        <v>25</v>
      </c>
      <c r="H23" s="2"/>
      <c r="I23" s="2"/>
      <c r="J23" s="2"/>
      <c r="K23" s="2"/>
      <c r="L23" s="52"/>
      <c r="M23" s="52"/>
      <c r="N23" s="52"/>
      <c r="O23" s="52"/>
      <c r="P23" s="52"/>
      <c r="Q23" s="52"/>
      <c r="R23" s="2"/>
    </row>
    <row r="24" spans="1:18">
      <c r="B24" s="46" t="s">
        <v>78</v>
      </c>
      <c r="C24" s="47" t="s">
        <v>27</v>
      </c>
      <c r="D24" s="48" t="s">
        <v>79</v>
      </c>
      <c r="E24" s="47" t="s">
        <v>80</v>
      </c>
      <c r="F24" s="2" t="s">
        <v>25</v>
      </c>
      <c r="G24" s="2" t="s">
        <v>25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>
      <c r="B25" t="s">
        <v>81</v>
      </c>
      <c r="C25" t="s">
        <v>82</v>
      </c>
      <c r="D25" t="s">
        <v>83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>
      <c r="B26" t="s">
        <v>84</v>
      </c>
      <c r="C26" t="s">
        <v>50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>
      <c r="B27" t="s">
        <v>85</v>
      </c>
      <c r="C27" t="s">
        <v>82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>
      <c r="B28" t="s">
        <v>86</v>
      </c>
      <c r="C28" t="s">
        <v>87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>
      <c r="B29" t="s">
        <v>88</v>
      </c>
      <c r="C29" t="s">
        <v>87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2" spans="1:18">
      <c r="A32" t="s">
        <v>89</v>
      </c>
      <c r="B32" t="s">
        <v>90</v>
      </c>
    </row>
    <row r="33" spans="1:18">
      <c r="A33" t="s">
        <v>89</v>
      </c>
      <c r="B33" t="s">
        <v>91</v>
      </c>
    </row>
    <row r="34" spans="1:18">
      <c r="A34" t="s">
        <v>89</v>
      </c>
      <c r="B34" t="s">
        <v>92</v>
      </c>
    </row>
    <row r="35" spans="1:18">
      <c r="A35" t="s">
        <v>89</v>
      </c>
      <c r="B35" t="s">
        <v>93</v>
      </c>
    </row>
    <row r="36" spans="1:18">
      <c r="A36" t="s">
        <v>89</v>
      </c>
      <c r="B36" t="s">
        <v>94</v>
      </c>
    </row>
    <row r="37" spans="1:18">
      <c r="A37" t="s">
        <v>89</v>
      </c>
      <c r="B37" t="s">
        <v>95</v>
      </c>
    </row>
    <row r="38" spans="1:18">
      <c r="A38" t="s">
        <v>89</v>
      </c>
      <c r="B38" t="s">
        <v>68</v>
      </c>
    </row>
    <row r="39" spans="1:18">
      <c r="A39" t="s">
        <v>89</v>
      </c>
      <c r="B39" t="s">
        <v>96</v>
      </c>
    </row>
    <row r="40" spans="1:18">
      <c r="A40" t="s">
        <v>89</v>
      </c>
      <c r="B40" t="s">
        <v>97</v>
      </c>
    </row>
    <row r="42" spans="1:18">
      <c r="F42" t="s">
        <v>98</v>
      </c>
    </row>
    <row r="43" spans="1:18">
      <c r="B43" t="s">
        <v>99</v>
      </c>
      <c r="F43" s="84" t="s">
        <v>100</v>
      </c>
      <c r="G43" s="84"/>
      <c r="H43" s="84"/>
      <c r="I43" s="84"/>
      <c r="J43" t="s">
        <v>101</v>
      </c>
    </row>
    <row r="44" spans="1:18">
      <c r="B44" t="s">
        <v>102</v>
      </c>
      <c r="C44" t="s">
        <v>103</v>
      </c>
      <c r="D44" t="s">
        <v>4</v>
      </c>
      <c r="E44" t="s">
        <v>5</v>
      </c>
      <c r="F44" t="s">
        <v>104</v>
      </c>
      <c r="G44" t="s">
        <v>105</v>
      </c>
      <c r="H44" t="s">
        <v>106</v>
      </c>
      <c r="I44" t="s">
        <v>107</v>
      </c>
      <c r="J44" t="s">
        <v>108</v>
      </c>
      <c r="K44" t="s">
        <v>109</v>
      </c>
      <c r="L44" t="s">
        <v>110</v>
      </c>
      <c r="M44" t="s">
        <v>111</v>
      </c>
      <c r="N44" t="s">
        <v>112</v>
      </c>
      <c r="O44" t="s">
        <v>113</v>
      </c>
      <c r="P44" t="s">
        <v>114</v>
      </c>
      <c r="Q44" t="s">
        <v>115</v>
      </c>
      <c r="R44" t="s">
        <v>116</v>
      </c>
    </row>
    <row r="45" spans="1:18">
      <c r="A45" t="s">
        <v>39</v>
      </c>
      <c r="B45" t="s">
        <v>117</v>
      </c>
      <c r="C45" t="s">
        <v>118</v>
      </c>
      <c r="D45" t="s">
        <v>119</v>
      </c>
      <c r="E45" t="s">
        <v>120</v>
      </c>
      <c r="F45" t="s">
        <v>25</v>
      </c>
    </row>
    <row r="46" spans="1:18">
      <c r="A46" t="s">
        <v>39</v>
      </c>
      <c r="B46" t="s">
        <v>121</v>
      </c>
      <c r="C46" t="s">
        <v>45</v>
      </c>
      <c r="D46" t="s">
        <v>122</v>
      </c>
      <c r="E46" t="s">
        <v>123</v>
      </c>
      <c r="G46" t="s">
        <v>25</v>
      </c>
      <c r="H46" t="s">
        <v>25</v>
      </c>
    </row>
    <row r="47" spans="1:18">
      <c r="A47" t="s">
        <v>39</v>
      </c>
      <c r="B47" t="s">
        <v>124</v>
      </c>
      <c r="C47" t="s">
        <v>118</v>
      </c>
      <c r="D47" t="s">
        <v>125</v>
      </c>
      <c r="E47" t="s">
        <v>120</v>
      </c>
      <c r="I47" t="s">
        <v>25</v>
      </c>
    </row>
    <row r="48" spans="1:18">
      <c r="A48" t="s">
        <v>39</v>
      </c>
      <c r="B48" t="s">
        <v>126</v>
      </c>
      <c r="C48" t="s">
        <v>118</v>
      </c>
      <c r="D48" t="s">
        <v>127</v>
      </c>
      <c r="E48" t="s">
        <v>120</v>
      </c>
      <c r="J48" t="s">
        <v>25</v>
      </c>
    </row>
    <row r="49" spans="1:18">
      <c r="A49" t="s">
        <v>39</v>
      </c>
      <c r="B49" t="s">
        <v>128</v>
      </c>
      <c r="C49" t="s">
        <v>45</v>
      </c>
      <c r="E49" t="s">
        <v>123</v>
      </c>
      <c r="K49" t="s">
        <v>25</v>
      </c>
      <c r="L49" t="s">
        <v>25</v>
      </c>
    </row>
    <row r="50" spans="1:18">
      <c r="A50" t="s">
        <v>39</v>
      </c>
      <c r="B50" t="s">
        <v>129</v>
      </c>
      <c r="C50" t="s">
        <v>118</v>
      </c>
      <c r="D50" t="s">
        <v>130</v>
      </c>
      <c r="E50" t="s">
        <v>123</v>
      </c>
      <c r="M50" t="s">
        <v>25</v>
      </c>
    </row>
    <row r="51" spans="1:18">
      <c r="A51" t="s">
        <v>131</v>
      </c>
      <c r="B51" t="s">
        <v>132</v>
      </c>
      <c r="C51" t="s">
        <v>133</v>
      </c>
      <c r="D51" t="s">
        <v>134</v>
      </c>
      <c r="E51" t="s">
        <v>135</v>
      </c>
      <c r="K51" t="s">
        <v>25</v>
      </c>
      <c r="L51" t="s">
        <v>25</v>
      </c>
      <c r="M51" t="s">
        <v>25</v>
      </c>
      <c r="N51" t="s">
        <v>25</v>
      </c>
      <c r="O51" t="s">
        <v>25</v>
      </c>
      <c r="P51" t="s">
        <v>25</v>
      </c>
      <c r="Q51" t="s">
        <v>25</v>
      </c>
      <c r="R51" t="s">
        <v>25</v>
      </c>
    </row>
  </sheetData>
  <mergeCells count="6">
    <mergeCell ref="F43:I43"/>
    <mergeCell ref="F2:Q2"/>
    <mergeCell ref="A4:A5"/>
    <mergeCell ref="A7:A8"/>
    <mergeCell ref="F11:Q11"/>
    <mergeCell ref="F18:Q18"/>
  </mergeCells>
  <phoneticPr fontId="7" type="noConversion"/>
  <pageMargins left="0.25" right="0.25" top="0.75" bottom="0.75" header="0.3" footer="0.3"/>
  <pageSetup scale="55" fitToHeight="0" orientation="landscape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043AF-5034-4A01-9552-537D4E56E1A8}">
  <sheetPr>
    <pageSetUpPr fitToPage="1"/>
  </sheetPr>
  <dimension ref="A2:AD24"/>
  <sheetViews>
    <sheetView tabSelected="1" topLeftCell="F6" workbookViewId="0">
      <selection activeCell="A2" sqref="A2:AE25"/>
    </sheetView>
  </sheetViews>
  <sheetFormatPr defaultColWidth="11.42578125" defaultRowHeight="15"/>
  <cols>
    <col min="1" max="1" width="7.140625" bestFit="1" customWidth="1"/>
    <col min="2" max="2" width="39.42578125" customWidth="1"/>
    <col min="3" max="3" width="16.140625" bestFit="1" customWidth="1"/>
    <col min="4" max="4" width="13.5703125" customWidth="1"/>
    <col min="5" max="5" width="13" customWidth="1"/>
    <col min="6" max="6" width="75.5703125" bestFit="1" customWidth="1"/>
    <col min="7" max="7" width="21" customWidth="1"/>
    <col min="8" max="8" width="12.28515625" customWidth="1"/>
    <col min="9" max="30" width="5.7109375" style="58" customWidth="1"/>
  </cols>
  <sheetData>
    <row r="2" spans="1:30">
      <c r="B2" s="30" t="s">
        <v>136</v>
      </c>
      <c r="I2" s="88" t="s">
        <v>100</v>
      </c>
      <c r="J2" s="88"/>
      <c r="K2" s="88"/>
      <c r="L2" s="88"/>
      <c r="M2" s="86"/>
      <c r="N2" s="88" t="s">
        <v>101</v>
      </c>
      <c r="O2" s="88"/>
      <c r="P2" s="88"/>
      <c r="Q2" s="86"/>
      <c r="R2" s="88" t="s">
        <v>137</v>
      </c>
      <c r="S2" s="88"/>
      <c r="T2" s="88"/>
      <c r="U2" s="88"/>
      <c r="V2" s="86"/>
      <c r="W2" s="86" t="s">
        <v>138</v>
      </c>
      <c r="X2" s="87"/>
      <c r="Y2" s="87"/>
      <c r="Z2" s="87"/>
      <c r="AA2" s="88" t="s">
        <v>139</v>
      </c>
      <c r="AB2" s="88"/>
      <c r="AC2" s="88"/>
      <c r="AD2" s="88"/>
    </row>
    <row r="3" spans="1:30">
      <c r="A3" s="2"/>
      <c r="B3" s="2" t="s">
        <v>102</v>
      </c>
      <c r="C3" s="2" t="s">
        <v>140</v>
      </c>
      <c r="D3" s="2" t="s">
        <v>141</v>
      </c>
      <c r="E3" s="2" t="s">
        <v>142</v>
      </c>
      <c r="F3" s="2" t="s">
        <v>4</v>
      </c>
      <c r="G3" s="2" t="s">
        <v>5</v>
      </c>
      <c r="H3" s="2" t="s">
        <v>18</v>
      </c>
      <c r="I3" s="63" t="s">
        <v>104</v>
      </c>
      <c r="J3" s="63" t="s">
        <v>105</v>
      </c>
      <c r="K3" s="63" t="s">
        <v>106</v>
      </c>
      <c r="L3" s="63" t="s">
        <v>107</v>
      </c>
      <c r="M3" s="63" t="s">
        <v>108</v>
      </c>
      <c r="N3" s="63" t="s">
        <v>109</v>
      </c>
      <c r="O3" s="63" t="s">
        <v>110</v>
      </c>
      <c r="P3" s="63" t="s">
        <v>111</v>
      </c>
      <c r="Q3" s="63" t="s">
        <v>112</v>
      </c>
      <c r="R3" s="63" t="s">
        <v>113</v>
      </c>
      <c r="S3" s="63" t="s">
        <v>114</v>
      </c>
      <c r="T3" s="63" t="s">
        <v>115</v>
      </c>
      <c r="U3" s="64" t="s">
        <v>116</v>
      </c>
      <c r="V3" s="74" t="s">
        <v>143</v>
      </c>
      <c r="W3" s="74" t="s">
        <v>144</v>
      </c>
      <c r="X3" s="74" t="s">
        <v>145</v>
      </c>
      <c r="Y3" s="74" t="s">
        <v>146</v>
      </c>
      <c r="Z3" s="74" t="s">
        <v>147</v>
      </c>
      <c r="AA3" s="74" t="s">
        <v>148</v>
      </c>
      <c r="AB3" s="74" t="s">
        <v>149</v>
      </c>
      <c r="AC3" s="74" t="s">
        <v>150</v>
      </c>
      <c r="AD3" s="74" t="s">
        <v>151</v>
      </c>
    </row>
    <row r="4" spans="1:30">
      <c r="A4" s="55" t="s">
        <v>39</v>
      </c>
      <c r="B4" s="55" t="s">
        <v>117</v>
      </c>
      <c r="C4" s="55" t="s">
        <v>118</v>
      </c>
      <c r="D4" s="55" t="s">
        <v>152</v>
      </c>
      <c r="E4" s="55" t="s">
        <v>153</v>
      </c>
      <c r="F4" s="55" t="s">
        <v>119</v>
      </c>
      <c r="G4" s="55" t="s">
        <v>120</v>
      </c>
      <c r="H4" s="55"/>
      <c r="I4" s="66" t="s">
        <v>25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57"/>
      <c r="V4" s="61"/>
      <c r="W4" s="61"/>
      <c r="X4" s="61"/>
      <c r="Y4" s="61"/>
      <c r="Z4" s="61"/>
      <c r="AA4" s="61"/>
      <c r="AB4" s="61"/>
      <c r="AC4" s="61"/>
      <c r="AD4" s="61"/>
    </row>
    <row r="5" spans="1:30">
      <c r="A5" s="67" t="s">
        <v>39</v>
      </c>
      <c r="B5" s="67" t="s">
        <v>121</v>
      </c>
      <c r="C5" s="67" t="s">
        <v>45</v>
      </c>
      <c r="D5" s="67" t="s">
        <v>152</v>
      </c>
      <c r="E5" s="60" t="s">
        <v>153</v>
      </c>
      <c r="F5" s="67" t="s">
        <v>122</v>
      </c>
      <c r="G5" s="67" t="s">
        <v>154</v>
      </c>
      <c r="H5" s="67"/>
      <c r="I5" s="68"/>
      <c r="J5" s="68" t="s">
        <v>25</v>
      </c>
      <c r="K5" s="68" t="s">
        <v>25</v>
      </c>
      <c r="L5" s="3"/>
      <c r="M5" s="3"/>
      <c r="N5" s="3"/>
      <c r="O5" s="3"/>
      <c r="P5" s="3"/>
      <c r="Q5" s="3"/>
      <c r="R5" s="3"/>
      <c r="S5" s="3"/>
      <c r="T5" s="3"/>
      <c r="U5" s="57"/>
      <c r="V5" s="61"/>
      <c r="W5" s="61"/>
      <c r="X5" s="61"/>
      <c r="Y5" s="61"/>
      <c r="Z5" s="61"/>
      <c r="AA5" s="61"/>
      <c r="AB5" s="61"/>
      <c r="AC5" s="61"/>
      <c r="AD5" s="61"/>
    </row>
    <row r="6" spans="1:30">
      <c r="A6" s="55" t="s">
        <v>39</v>
      </c>
      <c r="B6" s="55" t="s">
        <v>124</v>
      </c>
      <c r="C6" s="55" t="s">
        <v>118</v>
      </c>
      <c r="D6" s="55" t="s">
        <v>152</v>
      </c>
      <c r="E6" s="55" t="s">
        <v>153</v>
      </c>
      <c r="F6" s="55" t="s">
        <v>125</v>
      </c>
      <c r="G6" s="55" t="s">
        <v>120</v>
      </c>
      <c r="H6" s="55"/>
      <c r="I6" s="66"/>
      <c r="J6" s="66"/>
      <c r="K6" s="66"/>
      <c r="L6" s="66" t="s">
        <v>25</v>
      </c>
      <c r="M6" s="3"/>
      <c r="N6" s="3"/>
      <c r="O6" s="3"/>
      <c r="P6" s="3"/>
      <c r="Q6" s="3"/>
      <c r="R6" s="3"/>
      <c r="S6" s="3"/>
      <c r="T6" s="3"/>
      <c r="U6" s="57"/>
      <c r="V6" s="61"/>
      <c r="W6" s="61"/>
      <c r="X6" s="61"/>
      <c r="Y6" s="61"/>
      <c r="Z6" s="61"/>
      <c r="AA6" s="61"/>
      <c r="AB6" s="61"/>
      <c r="AC6" s="61"/>
      <c r="AD6" s="61"/>
    </row>
    <row r="7" spans="1:30">
      <c r="A7" s="67" t="s">
        <v>39</v>
      </c>
      <c r="B7" s="67" t="s">
        <v>126</v>
      </c>
      <c r="C7" s="67" t="s">
        <v>118</v>
      </c>
      <c r="D7" s="67" t="s">
        <v>152</v>
      </c>
      <c r="E7" s="60" t="s">
        <v>153</v>
      </c>
      <c r="F7" s="67" t="s">
        <v>127</v>
      </c>
      <c r="G7" s="67" t="s">
        <v>120</v>
      </c>
      <c r="H7" s="67"/>
      <c r="I7" s="68"/>
      <c r="J7" s="68"/>
      <c r="K7" s="68"/>
      <c r="L7" s="68"/>
      <c r="M7" s="68" t="s">
        <v>25</v>
      </c>
      <c r="N7" s="3"/>
      <c r="O7" s="3"/>
      <c r="P7" s="3"/>
      <c r="Q7" s="3"/>
      <c r="R7" s="3"/>
      <c r="S7" s="3"/>
      <c r="T7" s="3"/>
      <c r="U7" s="57"/>
      <c r="V7" s="61"/>
      <c r="W7" s="61"/>
      <c r="X7" s="61"/>
      <c r="Y7" s="61"/>
      <c r="Z7" s="61"/>
      <c r="AA7" s="61"/>
      <c r="AB7" s="61"/>
      <c r="AC7" s="61"/>
      <c r="AD7" s="61"/>
    </row>
    <row r="8" spans="1:30">
      <c r="A8" s="2" t="s">
        <v>39</v>
      </c>
      <c r="B8" s="2" t="s">
        <v>128</v>
      </c>
      <c r="C8" s="2" t="s">
        <v>45</v>
      </c>
      <c r="D8" s="2"/>
      <c r="E8" s="2" t="s">
        <v>155</v>
      </c>
      <c r="F8" s="2"/>
      <c r="G8" s="2" t="s">
        <v>154</v>
      </c>
      <c r="H8" s="2"/>
      <c r="I8" s="3"/>
      <c r="J8" s="3"/>
      <c r="K8" s="3"/>
      <c r="L8" s="3"/>
      <c r="M8" s="3"/>
      <c r="N8" s="3" t="s">
        <v>25</v>
      </c>
      <c r="O8" s="3" t="s">
        <v>25</v>
      </c>
      <c r="P8" s="3"/>
      <c r="Q8" s="3"/>
      <c r="R8" s="3"/>
      <c r="S8" s="3"/>
      <c r="T8" s="3"/>
      <c r="U8" s="77" t="s">
        <v>25</v>
      </c>
      <c r="V8" s="78" t="s">
        <v>25</v>
      </c>
      <c r="W8" s="61"/>
      <c r="X8" s="61"/>
      <c r="Y8" s="61"/>
      <c r="Z8" s="61"/>
      <c r="AA8" s="61"/>
      <c r="AB8" s="61"/>
      <c r="AC8" s="61"/>
      <c r="AD8" s="61"/>
    </row>
    <row r="9" spans="1:30">
      <c r="A9" s="2" t="s">
        <v>39</v>
      </c>
      <c r="B9" s="2" t="s">
        <v>156</v>
      </c>
      <c r="C9" s="2" t="s">
        <v>118</v>
      </c>
      <c r="D9" s="2"/>
      <c r="E9" s="56" t="s">
        <v>157</v>
      </c>
      <c r="F9" s="55" t="s">
        <v>158</v>
      </c>
      <c r="G9" s="55" t="s">
        <v>154</v>
      </c>
      <c r="H9" s="55"/>
      <c r="I9" s="66"/>
      <c r="J9" s="66"/>
      <c r="K9" s="66"/>
      <c r="L9" s="66"/>
      <c r="M9" s="66"/>
      <c r="N9" s="66"/>
      <c r="O9" s="66"/>
      <c r="P9" s="66"/>
      <c r="Q9" s="66"/>
      <c r="R9" s="66"/>
      <c r="S9" s="66" t="s">
        <v>25</v>
      </c>
      <c r="T9" s="3"/>
      <c r="U9" s="57"/>
      <c r="V9" s="61"/>
      <c r="W9" s="61"/>
      <c r="X9" s="61"/>
      <c r="Y9" s="61"/>
      <c r="Z9" s="61"/>
      <c r="AA9" s="61"/>
      <c r="AB9" s="61"/>
      <c r="AC9" s="61"/>
      <c r="AD9" s="61"/>
    </row>
    <row r="10" spans="1:30">
      <c r="A10" s="2"/>
      <c r="B10" s="2"/>
      <c r="C10" s="59" t="s">
        <v>118</v>
      </c>
      <c r="D10" s="59" t="s">
        <v>159</v>
      </c>
      <c r="E10" s="65"/>
      <c r="F10" s="59" t="s">
        <v>160</v>
      </c>
      <c r="G10" s="2"/>
      <c r="H10" s="2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80" t="s">
        <v>25</v>
      </c>
      <c r="U10" s="57"/>
      <c r="V10" s="61"/>
      <c r="W10" s="61"/>
      <c r="X10" s="61"/>
      <c r="Y10" s="61"/>
      <c r="Z10" s="61"/>
      <c r="AA10" s="61"/>
      <c r="AB10" s="61"/>
      <c r="AC10" s="61"/>
      <c r="AD10" s="61"/>
    </row>
    <row r="11" spans="1:30">
      <c r="A11" s="55" t="s">
        <v>131</v>
      </c>
      <c r="B11" s="55" t="s">
        <v>132</v>
      </c>
      <c r="C11" s="55" t="s">
        <v>133</v>
      </c>
      <c r="D11" s="55"/>
      <c r="E11" s="55" t="s">
        <v>157</v>
      </c>
      <c r="F11" s="55" t="s">
        <v>134</v>
      </c>
      <c r="G11" s="55" t="s">
        <v>135</v>
      </c>
      <c r="H11" s="55"/>
      <c r="I11" s="66"/>
      <c r="J11" s="66"/>
      <c r="K11" s="66"/>
      <c r="L11" s="66"/>
      <c r="M11" s="66"/>
      <c r="N11" s="66" t="s">
        <v>25</v>
      </c>
      <c r="O11" s="66" t="s">
        <v>25</v>
      </c>
      <c r="P11" s="89" t="s">
        <v>161</v>
      </c>
      <c r="Q11" s="90"/>
      <c r="R11" s="90"/>
      <c r="S11" s="91"/>
      <c r="T11" s="3"/>
      <c r="U11" s="57"/>
      <c r="V11" s="61"/>
      <c r="W11" s="61"/>
      <c r="X11" s="61"/>
      <c r="Y11" s="61"/>
      <c r="Z11" s="61"/>
      <c r="AA11" s="61"/>
      <c r="AB11" s="61"/>
      <c r="AC11" s="61"/>
      <c r="AD11" s="61"/>
    </row>
    <row r="12" spans="1:30">
      <c r="A12" s="69" t="s">
        <v>162</v>
      </c>
      <c r="B12" s="69" t="s">
        <v>163</v>
      </c>
      <c r="C12" s="69" t="s">
        <v>27</v>
      </c>
      <c r="D12" s="69" t="s">
        <v>164</v>
      </c>
      <c r="E12" s="70" t="s">
        <v>165</v>
      </c>
      <c r="F12" s="75" t="s">
        <v>166</v>
      </c>
      <c r="G12" s="75" t="s">
        <v>167</v>
      </c>
      <c r="H12" s="75"/>
      <c r="I12" s="76"/>
      <c r="J12" s="76" t="s">
        <v>25</v>
      </c>
      <c r="K12" s="76" t="s">
        <v>25</v>
      </c>
      <c r="L12" s="76" t="s">
        <v>25</v>
      </c>
      <c r="M12" s="76" t="s">
        <v>25</v>
      </c>
      <c r="N12" s="79" t="s">
        <v>25</v>
      </c>
      <c r="O12" s="79" t="s">
        <v>25</v>
      </c>
      <c r="P12" s="79" t="s">
        <v>25</v>
      </c>
      <c r="Q12" s="79" t="s">
        <v>25</v>
      </c>
      <c r="R12" s="79" t="s">
        <v>25</v>
      </c>
      <c r="S12" s="79" t="s">
        <v>25</v>
      </c>
      <c r="T12" s="71"/>
      <c r="U12" s="72"/>
      <c r="V12" s="73"/>
      <c r="W12" s="73"/>
      <c r="X12" s="73"/>
      <c r="Y12" s="73"/>
      <c r="Z12" s="73"/>
      <c r="AA12" s="73"/>
      <c r="AB12" s="73"/>
      <c r="AC12" s="73"/>
      <c r="AD12" s="73"/>
    </row>
    <row r="13" spans="1:30">
      <c r="A13" s="5" t="s">
        <v>168</v>
      </c>
      <c r="B13" s="5" t="s">
        <v>169</v>
      </c>
      <c r="C13" s="5" t="s">
        <v>22</v>
      </c>
      <c r="D13" s="5"/>
      <c r="E13" s="5" t="s">
        <v>155</v>
      </c>
      <c r="F13" s="5" t="s">
        <v>170</v>
      </c>
      <c r="G13" s="5" t="s">
        <v>171</v>
      </c>
      <c r="H13" s="5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 t="s">
        <v>25</v>
      </c>
      <c r="U13" s="61" t="s">
        <v>25</v>
      </c>
      <c r="V13" s="61" t="s">
        <v>25</v>
      </c>
      <c r="W13" s="61" t="s">
        <v>25</v>
      </c>
      <c r="X13" s="61" t="s">
        <v>25</v>
      </c>
      <c r="Y13" s="61" t="s">
        <v>25</v>
      </c>
      <c r="Z13" s="61"/>
      <c r="AA13" s="61"/>
      <c r="AB13" s="61"/>
      <c r="AC13" s="61"/>
      <c r="AD13" s="61"/>
    </row>
    <row r="16" spans="1:30">
      <c r="A16" s="2"/>
      <c r="B16" s="54" t="s">
        <v>172</v>
      </c>
      <c r="C16" s="2"/>
      <c r="D16" s="2"/>
      <c r="E16" s="2"/>
      <c r="F16" s="2"/>
      <c r="G16" s="2"/>
      <c r="H16" s="62"/>
      <c r="I16" s="88" t="s">
        <v>100</v>
      </c>
      <c r="J16" s="88"/>
      <c r="K16" s="88"/>
      <c r="L16" s="88"/>
      <c r="M16" s="86"/>
      <c r="N16" s="88" t="s">
        <v>101</v>
      </c>
      <c r="O16" s="88"/>
      <c r="P16" s="88"/>
      <c r="Q16" s="86"/>
      <c r="R16" s="88" t="s">
        <v>137</v>
      </c>
      <c r="S16" s="88"/>
      <c r="T16" s="88"/>
      <c r="U16" s="86"/>
      <c r="V16" s="86" t="s">
        <v>138</v>
      </c>
      <c r="W16" s="87"/>
      <c r="X16" s="87"/>
      <c r="Y16" s="87"/>
      <c r="Z16" s="87"/>
      <c r="AA16" s="88" t="s">
        <v>139</v>
      </c>
      <c r="AB16" s="88"/>
      <c r="AC16" s="88"/>
      <c r="AD16" s="88"/>
    </row>
    <row r="17" spans="1:30">
      <c r="A17" s="2"/>
      <c r="B17" s="2" t="s">
        <v>102</v>
      </c>
      <c r="C17" s="2" t="s">
        <v>140</v>
      </c>
      <c r="D17" s="2" t="s">
        <v>141</v>
      </c>
      <c r="E17" s="2" t="s">
        <v>142</v>
      </c>
      <c r="F17" s="2" t="s">
        <v>4</v>
      </c>
      <c r="G17" s="2" t="s">
        <v>5</v>
      </c>
      <c r="H17" s="2" t="s">
        <v>18</v>
      </c>
      <c r="I17" s="63" t="s">
        <v>104</v>
      </c>
      <c r="J17" s="63" t="s">
        <v>105</v>
      </c>
      <c r="K17" s="63" t="s">
        <v>106</v>
      </c>
      <c r="L17" s="63" t="s">
        <v>107</v>
      </c>
      <c r="M17" s="63" t="s">
        <v>108</v>
      </c>
      <c r="N17" s="63" t="s">
        <v>109</v>
      </c>
      <c r="O17" s="63" t="s">
        <v>110</v>
      </c>
      <c r="P17" s="63" t="s">
        <v>111</v>
      </c>
      <c r="Q17" s="63" t="s">
        <v>112</v>
      </c>
      <c r="R17" s="63" t="s">
        <v>113</v>
      </c>
      <c r="S17" s="63" t="s">
        <v>114</v>
      </c>
      <c r="T17" s="63" t="s">
        <v>115</v>
      </c>
      <c r="U17" s="64" t="s">
        <v>116</v>
      </c>
      <c r="V17" s="74" t="s">
        <v>143</v>
      </c>
      <c r="W17" s="74" t="s">
        <v>144</v>
      </c>
      <c r="X17" s="74" t="s">
        <v>145</v>
      </c>
      <c r="Y17" s="74" t="s">
        <v>146</v>
      </c>
      <c r="Z17" s="74" t="s">
        <v>147</v>
      </c>
      <c r="AA17" s="74" t="s">
        <v>148</v>
      </c>
      <c r="AB17" s="74" t="s">
        <v>149</v>
      </c>
      <c r="AC17" s="74" t="s">
        <v>150</v>
      </c>
      <c r="AD17" s="74" t="s">
        <v>151</v>
      </c>
    </row>
    <row r="18" spans="1:30">
      <c r="A18" s="55" t="s">
        <v>173</v>
      </c>
      <c r="B18" s="55" t="s">
        <v>174</v>
      </c>
      <c r="C18" s="55" t="s">
        <v>27</v>
      </c>
      <c r="D18" s="55" t="s">
        <v>164</v>
      </c>
      <c r="E18" s="55" t="s">
        <v>165</v>
      </c>
      <c r="F18" s="55" t="s">
        <v>175</v>
      </c>
      <c r="G18" s="55" t="s">
        <v>55</v>
      </c>
      <c r="H18" s="55"/>
      <c r="I18" s="66"/>
      <c r="J18" s="66" t="s">
        <v>25</v>
      </c>
      <c r="K18" s="66" t="s">
        <v>25</v>
      </c>
      <c r="L18" s="66" t="s">
        <v>25</v>
      </c>
      <c r="M18" s="66" t="s">
        <v>25</v>
      </c>
      <c r="N18" s="3"/>
      <c r="O18" s="3"/>
      <c r="P18" s="3"/>
      <c r="Q18" s="3"/>
      <c r="R18" s="3"/>
      <c r="S18" s="3"/>
      <c r="T18" s="3"/>
      <c r="U18" s="57"/>
      <c r="V18" s="61"/>
      <c r="W18" s="61"/>
      <c r="X18" s="61"/>
      <c r="Y18" s="61"/>
      <c r="Z18" s="61"/>
      <c r="AA18" s="61"/>
      <c r="AB18" s="61"/>
      <c r="AC18" s="61"/>
      <c r="AD18" s="61"/>
    </row>
    <row r="19" spans="1:30">
      <c r="A19" s="2"/>
      <c r="B19" s="2"/>
      <c r="C19" s="59" t="s">
        <v>45</v>
      </c>
      <c r="D19" s="59" t="s">
        <v>159</v>
      </c>
      <c r="E19" s="2"/>
      <c r="F19" s="67" t="s">
        <v>176</v>
      </c>
      <c r="G19" s="67"/>
      <c r="H19" s="67"/>
      <c r="I19" s="68"/>
      <c r="J19" s="68"/>
      <c r="K19" s="68"/>
      <c r="L19" s="68"/>
      <c r="M19" s="68"/>
      <c r="N19" s="80" t="s">
        <v>25</v>
      </c>
      <c r="O19" s="80" t="s">
        <v>25</v>
      </c>
      <c r="P19" s="3"/>
      <c r="Q19" s="3"/>
      <c r="R19" s="3"/>
      <c r="S19" s="3"/>
      <c r="T19" s="3"/>
      <c r="U19" s="57"/>
      <c r="V19" s="61"/>
      <c r="W19" s="61"/>
      <c r="X19" s="61"/>
      <c r="Y19" s="61"/>
      <c r="Z19" s="61"/>
      <c r="AA19" s="61"/>
      <c r="AB19" s="61"/>
      <c r="AC19" s="61"/>
      <c r="AD19" s="61"/>
    </row>
    <row r="20" spans="1:30">
      <c r="A20" s="2"/>
      <c r="B20" s="2"/>
      <c r="C20" s="59" t="s">
        <v>45</v>
      </c>
      <c r="D20" s="59" t="s">
        <v>159</v>
      </c>
      <c r="E20" s="2"/>
      <c r="F20" s="55" t="s">
        <v>177</v>
      </c>
      <c r="G20" s="55"/>
      <c r="H20" s="55"/>
      <c r="I20" s="66"/>
      <c r="J20" s="66"/>
      <c r="K20" s="66"/>
      <c r="L20" s="66"/>
      <c r="M20" s="66"/>
      <c r="N20" s="66"/>
      <c r="O20" s="66"/>
      <c r="P20" s="81" t="s">
        <v>25</v>
      </c>
      <c r="Q20" s="81" t="s">
        <v>25</v>
      </c>
      <c r="R20" s="3"/>
      <c r="S20" s="3"/>
      <c r="T20" s="3"/>
      <c r="U20" s="57"/>
      <c r="V20" s="61"/>
      <c r="W20" s="61"/>
      <c r="X20" s="61"/>
      <c r="Y20" s="61"/>
      <c r="Z20" s="61"/>
      <c r="AA20" s="61"/>
      <c r="AB20" s="61"/>
      <c r="AC20" s="61"/>
      <c r="AD20" s="61"/>
    </row>
    <row r="21" spans="1:30">
      <c r="A21" s="2"/>
      <c r="B21" s="2"/>
      <c r="C21" s="59" t="s">
        <v>45</v>
      </c>
      <c r="D21" s="59" t="s">
        <v>159</v>
      </c>
      <c r="E21" s="2"/>
      <c r="F21" s="67" t="s">
        <v>178</v>
      </c>
      <c r="G21" s="67"/>
      <c r="H21" s="67"/>
      <c r="I21" s="68"/>
      <c r="J21" s="68"/>
      <c r="K21" s="68"/>
      <c r="L21" s="68"/>
      <c r="M21" s="68"/>
      <c r="N21" s="68"/>
      <c r="O21" s="68"/>
      <c r="P21" s="68"/>
      <c r="Q21" s="68"/>
      <c r="R21" s="80" t="s">
        <v>25</v>
      </c>
      <c r="S21" s="80" t="s">
        <v>25</v>
      </c>
      <c r="T21" s="3"/>
      <c r="U21" s="57"/>
      <c r="V21" s="61"/>
      <c r="W21" s="61"/>
      <c r="X21" s="61"/>
      <c r="Y21" s="61"/>
      <c r="Z21" s="61"/>
      <c r="AA21" s="61"/>
      <c r="AB21" s="61"/>
      <c r="AC21" s="61"/>
      <c r="AD21" s="61"/>
    </row>
    <row r="22" spans="1:30">
      <c r="A22" s="2"/>
      <c r="B22" s="2"/>
      <c r="C22" s="59" t="s">
        <v>45</v>
      </c>
      <c r="D22" s="59" t="s">
        <v>159</v>
      </c>
      <c r="E22" s="2"/>
      <c r="F22" s="59" t="s">
        <v>179</v>
      </c>
      <c r="G22" s="2"/>
      <c r="H22" s="2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80" t="s">
        <v>25</v>
      </c>
      <c r="U22" s="77" t="s">
        <v>25</v>
      </c>
      <c r="V22" s="61"/>
      <c r="W22" s="61"/>
      <c r="X22" s="61"/>
      <c r="Y22" s="61"/>
      <c r="Z22" s="61"/>
      <c r="AA22" s="61"/>
      <c r="AB22" s="61"/>
      <c r="AC22" s="61"/>
      <c r="AD22" s="61"/>
    </row>
    <row r="23" spans="1:30">
      <c r="A23" s="2" t="s">
        <v>173</v>
      </c>
      <c r="B23" s="2" t="s">
        <v>78</v>
      </c>
      <c r="C23" s="2" t="s">
        <v>27</v>
      </c>
      <c r="D23" s="2"/>
      <c r="E23" s="2"/>
      <c r="F23" s="2" t="s">
        <v>180</v>
      </c>
      <c r="G23" s="2" t="s">
        <v>55</v>
      </c>
      <c r="H23" s="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57"/>
      <c r="V23" s="61" t="s">
        <v>25</v>
      </c>
      <c r="W23" s="61" t="s">
        <v>25</v>
      </c>
      <c r="X23" s="61" t="s">
        <v>25</v>
      </c>
      <c r="Y23" s="61" t="s">
        <v>25</v>
      </c>
      <c r="Z23" s="61"/>
      <c r="AA23" s="61"/>
      <c r="AB23" s="61"/>
      <c r="AC23" s="61"/>
      <c r="AD23" s="61"/>
    </row>
    <row r="24" spans="1:30">
      <c r="A24" s="2" t="s">
        <v>181</v>
      </c>
      <c r="B24" s="2" t="s">
        <v>182</v>
      </c>
      <c r="C24" s="2" t="s">
        <v>27</v>
      </c>
      <c r="D24" s="2"/>
      <c r="E24" s="2"/>
      <c r="F24" s="2" t="s">
        <v>183</v>
      </c>
      <c r="G24" s="2" t="s">
        <v>184</v>
      </c>
      <c r="H24" s="2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57"/>
      <c r="V24" s="61"/>
      <c r="W24" s="61"/>
      <c r="X24" s="61"/>
      <c r="Y24" s="61"/>
      <c r="Z24" s="61" t="s">
        <v>25</v>
      </c>
      <c r="AA24" s="61" t="s">
        <v>25</v>
      </c>
      <c r="AB24" s="61" t="s">
        <v>25</v>
      </c>
      <c r="AC24" s="61" t="s">
        <v>25</v>
      </c>
      <c r="AD24" s="61"/>
    </row>
  </sheetData>
  <mergeCells count="11">
    <mergeCell ref="I16:M16"/>
    <mergeCell ref="N16:Q16"/>
    <mergeCell ref="R16:U16"/>
    <mergeCell ref="I2:M2"/>
    <mergeCell ref="P11:S11"/>
    <mergeCell ref="R2:V2"/>
    <mergeCell ref="W2:Z2"/>
    <mergeCell ref="V16:Z16"/>
    <mergeCell ref="AA2:AD2"/>
    <mergeCell ref="AA16:AD16"/>
    <mergeCell ref="N2:Q2"/>
  </mergeCells>
  <pageMargins left="0.25" right="0.25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Desarrollo Humano</dc:creator>
  <cp:keywords/>
  <dc:description/>
  <cp:lastModifiedBy/>
  <cp:revision/>
  <dcterms:created xsi:type="dcterms:W3CDTF">2024-03-23T00:38:09Z</dcterms:created>
  <dcterms:modified xsi:type="dcterms:W3CDTF">2026-03-12T00:16:11Z</dcterms:modified>
  <cp:category/>
  <cp:contentStatus/>
</cp:coreProperties>
</file>